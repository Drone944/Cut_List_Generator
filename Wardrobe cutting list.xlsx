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lton Kuruvila\Documents\"/>
    </mc:Choice>
  </mc:AlternateContent>
  <xr:revisionPtr revIDLastSave="0" documentId="8_{99E4385F-831A-4FE6-976D-95E7EFDC2A82}" xr6:coauthVersionLast="47" xr6:coauthVersionMax="47" xr10:uidLastSave="{00000000-0000-0000-0000-000000000000}"/>
  <bookViews>
    <workbookView xWindow="-108" yWindow="-108" windowWidth="23256" windowHeight="12456" xr2:uid="{1C25182E-6EEE-41CA-AB0A-51DB68FAD22F}"/>
  </bookViews>
  <sheets>
    <sheet name="WD CUTTING" sheetId="1" r:id="rId1"/>
  </sheets>
  <externalReferences>
    <externalReference r:id="rId2"/>
  </externalReferences>
  <definedNames>
    <definedName name="_xlnm._FilterDatabase" localSheetId="0" hidden="1">'WD CUTTING'!$B$18:$L$96</definedName>
    <definedName name="BBackpanelthick">'[1]Kitchen cab'!$D$10</definedName>
    <definedName name="BDepth">'[1]Kitchen cab'!$D$2</definedName>
    <definedName name="BHight">'[1]Kitchen cab'!$D$3</definedName>
    <definedName name="Bmaterial">'[1]Kitchen cab'!$D$7</definedName>
    <definedName name="Bthick">'[1]Kitchen cab'!$D$8</definedName>
    <definedName name="Skirting_Hight">'[1]Kitchen cab'!$D$11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2" i="1" l="1"/>
  <c r="D121" i="1"/>
  <c r="D120" i="1"/>
  <c r="C119" i="1"/>
  <c r="C117" i="1"/>
  <c r="C116" i="1"/>
  <c r="C115" i="1"/>
  <c r="C114" i="1"/>
  <c r="D111" i="1"/>
  <c r="D105" i="1"/>
  <c r="D110" i="1" s="1"/>
  <c r="D112" i="1" s="1"/>
  <c r="C105" i="1"/>
  <c r="C104" i="1"/>
  <c r="D103" i="1"/>
  <c r="C103" i="1"/>
  <c r="E96" i="1"/>
  <c r="D96" i="1"/>
  <c r="C96" i="1"/>
  <c r="I95" i="1"/>
  <c r="K95" i="1" s="1"/>
  <c r="L95" i="1" s="1"/>
  <c r="H95" i="1"/>
  <c r="E95" i="1"/>
  <c r="D119" i="1" s="1"/>
  <c r="B95" i="1"/>
  <c r="P94" i="1"/>
  <c r="P95" i="1" s="1"/>
  <c r="H94" i="1"/>
  <c r="I94" i="1" s="1"/>
  <c r="J94" i="1" s="1"/>
  <c r="K94" i="1" s="1"/>
  <c r="L94" i="1" s="1"/>
  <c r="E94" i="1"/>
  <c r="D94" i="1"/>
  <c r="C94" i="1"/>
  <c r="C95" i="1" s="1"/>
  <c r="B94" i="1"/>
  <c r="H93" i="1"/>
  <c r="B93" i="1"/>
  <c r="L92" i="1"/>
  <c r="K92" i="1"/>
  <c r="J92" i="1"/>
  <c r="I92" i="1"/>
  <c r="H92" i="1"/>
  <c r="B92" i="1"/>
  <c r="L91" i="1"/>
  <c r="K91" i="1"/>
  <c r="J91" i="1"/>
  <c r="I91" i="1"/>
  <c r="H91" i="1"/>
  <c r="B91" i="1"/>
  <c r="L90" i="1"/>
  <c r="K90" i="1"/>
  <c r="J90" i="1"/>
  <c r="I90" i="1"/>
  <c r="H90" i="1"/>
  <c r="B90" i="1"/>
  <c r="L89" i="1"/>
  <c r="K89" i="1"/>
  <c r="J89" i="1"/>
  <c r="I89" i="1"/>
  <c r="H89" i="1"/>
  <c r="E89" i="1"/>
  <c r="E90" i="1" s="1"/>
  <c r="E91" i="1" s="1"/>
  <c r="E92" i="1" s="1"/>
  <c r="E93" i="1" s="1"/>
  <c r="B89" i="1"/>
  <c r="L88" i="1"/>
  <c r="K88" i="1"/>
  <c r="J88" i="1"/>
  <c r="I88" i="1"/>
  <c r="H88" i="1"/>
  <c r="E88" i="1"/>
  <c r="D88" i="1"/>
  <c r="C88" i="1"/>
  <c r="C89" i="1" s="1"/>
  <c r="C93" i="1" s="1"/>
  <c r="B88" i="1"/>
  <c r="H87" i="1"/>
  <c r="B87" i="1"/>
  <c r="L86" i="1"/>
  <c r="K86" i="1"/>
  <c r="J86" i="1"/>
  <c r="I86" i="1"/>
  <c r="H86" i="1"/>
  <c r="B86" i="1"/>
  <c r="L85" i="1"/>
  <c r="K85" i="1"/>
  <c r="J85" i="1"/>
  <c r="I85" i="1"/>
  <c r="H85" i="1"/>
  <c r="B85" i="1"/>
  <c r="L84" i="1"/>
  <c r="K84" i="1"/>
  <c r="J84" i="1"/>
  <c r="I84" i="1"/>
  <c r="H84" i="1"/>
  <c r="B84" i="1"/>
  <c r="L83" i="1"/>
  <c r="K83" i="1"/>
  <c r="J83" i="1"/>
  <c r="I83" i="1"/>
  <c r="H83" i="1"/>
  <c r="E83" i="1"/>
  <c r="E84" i="1" s="1"/>
  <c r="E85" i="1" s="1"/>
  <c r="E86" i="1" s="1"/>
  <c r="E87" i="1" s="1"/>
  <c r="B83" i="1"/>
  <c r="L82" i="1"/>
  <c r="K82" i="1"/>
  <c r="J82" i="1"/>
  <c r="I82" i="1"/>
  <c r="H82" i="1"/>
  <c r="E82" i="1"/>
  <c r="D82" i="1"/>
  <c r="C82" i="1"/>
  <c r="C83" i="1" s="1"/>
  <c r="C87" i="1" s="1"/>
  <c r="B82" i="1"/>
  <c r="H81" i="1"/>
  <c r="B81" i="1"/>
  <c r="L80" i="1"/>
  <c r="K80" i="1"/>
  <c r="J80" i="1"/>
  <c r="I80" i="1"/>
  <c r="H80" i="1"/>
  <c r="B80" i="1"/>
  <c r="L79" i="1"/>
  <c r="K79" i="1"/>
  <c r="J79" i="1"/>
  <c r="I79" i="1"/>
  <c r="H79" i="1"/>
  <c r="B79" i="1"/>
  <c r="L78" i="1"/>
  <c r="K78" i="1"/>
  <c r="J78" i="1"/>
  <c r="I78" i="1"/>
  <c r="H78" i="1"/>
  <c r="B78" i="1"/>
  <c r="L77" i="1"/>
  <c r="K77" i="1"/>
  <c r="J77" i="1"/>
  <c r="I77" i="1"/>
  <c r="H77" i="1"/>
  <c r="E77" i="1"/>
  <c r="E78" i="1" s="1"/>
  <c r="E79" i="1" s="1"/>
  <c r="E80" i="1" s="1"/>
  <c r="E81" i="1" s="1"/>
  <c r="B77" i="1"/>
  <c r="L76" i="1"/>
  <c r="K76" i="1"/>
  <c r="J76" i="1"/>
  <c r="I76" i="1"/>
  <c r="H76" i="1"/>
  <c r="E76" i="1"/>
  <c r="D76" i="1"/>
  <c r="C76" i="1"/>
  <c r="C77" i="1" s="1"/>
  <c r="C81" i="1" s="1"/>
  <c r="B76" i="1"/>
  <c r="H75" i="1"/>
  <c r="B75" i="1"/>
  <c r="L74" i="1"/>
  <c r="K74" i="1"/>
  <c r="J74" i="1"/>
  <c r="I74" i="1"/>
  <c r="H74" i="1"/>
  <c r="B74" i="1"/>
  <c r="O73" i="1"/>
  <c r="L73" i="1"/>
  <c r="K73" i="1"/>
  <c r="J73" i="1"/>
  <c r="I73" i="1"/>
  <c r="H73" i="1"/>
  <c r="B73" i="1"/>
  <c r="L72" i="1"/>
  <c r="K72" i="1"/>
  <c r="J72" i="1"/>
  <c r="I72" i="1"/>
  <c r="H72" i="1"/>
  <c r="F72" i="1"/>
  <c r="B72" i="1"/>
  <c r="L71" i="1"/>
  <c r="K71" i="1"/>
  <c r="J71" i="1"/>
  <c r="I71" i="1"/>
  <c r="H71" i="1"/>
  <c r="E71" i="1"/>
  <c r="E72" i="1" s="1"/>
  <c r="E73" i="1" s="1"/>
  <c r="E74" i="1" s="1"/>
  <c r="E75" i="1" s="1"/>
  <c r="B71" i="1"/>
  <c r="L70" i="1"/>
  <c r="K70" i="1"/>
  <c r="J70" i="1"/>
  <c r="I70" i="1"/>
  <c r="H70" i="1"/>
  <c r="E70" i="1"/>
  <c r="D70" i="1"/>
  <c r="C70" i="1"/>
  <c r="C71" i="1" s="1"/>
  <c r="C75" i="1" s="1"/>
  <c r="B70" i="1"/>
  <c r="H69" i="1"/>
  <c r="B69" i="1"/>
  <c r="L68" i="1"/>
  <c r="K68" i="1"/>
  <c r="J68" i="1"/>
  <c r="I68" i="1"/>
  <c r="H68" i="1"/>
  <c r="B68" i="1"/>
  <c r="L67" i="1"/>
  <c r="K67" i="1"/>
  <c r="J67" i="1"/>
  <c r="I67" i="1"/>
  <c r="H67" i="1"/>
  <c r="B67" i="1"/>
  <c r="L66" i="1"/>
  <c r="K66" i="1"/>
  <c r="J66" i="1"/>
  <c r="I66" i="1"/>
  <c r="H66" i="1"/>
  <c r="B66" i="1"/>
  <c r="L65" i="1"/>
  <c r="K65" i="1"/>
  <c r="J65" i="1"/>
  <c r="I65" i="1"/>
  <c r="H65" i="1"/>
  <c r="B65" i="1"/>
  <c r="L64" i="1"/>
  <c r="K64" i="1"/>
  <c r="J64" i="1"/>
  <c r="I64" i="1"/>
  <c r="H64" i="1"/>
  <c r="E64" i="1"/>
  <c r="E65" i="1" s="1"/>
  <c r="E66" i="1" s="1"/>
  <c r="E67" i="1" s="1"/>
  <c r="E68" i="1" s="1"/>
  <c r="E69" i="1" s="1"/>
  <c r="D64" i="1"/>
  <c r="C64" i="1"/>
  <c r="C65" i="1" s="1"/>
  <c r="C69" i="1" s="1"/>
  <c r="B64" i="1"/>
  <c r="H63" i="1"/>
  <c r="B63" i="1"/>
  <c r="L62" i="1"/>
  <c r="K62" i="1"/>
  <c r="J62" i="1"/>
  <c r="I62" i="1"/>
  <c r="H62" i="1"/>
  <c r="B62" i="1"/>
  <c r="L61" i="1"/>
  <c r="K61" i="1"/>
  <c r="J61" i="1"/>
  <c r="I61" i="1"/>
  <c r="H61" i="1"/>
  <c r="B61" i="1"/>
  <c r="L60" i="1"/>
  <c r="K60" i="1"/>
  <c r="J60" i="1"/>
  <c r="I60" i="1"/>
  <c r="H60" i="1"/>
  <c r="F60" i="1"/>
  <c r="B60" i="1"/>
  <c r="L59" i="1"/>
  <c r="K59" i="1"/>
  <c r="J59" i="1"/>
  <c r="I59" i="1"/>
  <c r="H59" i="1"/>
  <c r="E59" i="1"/>
  <c r="B59" i="1"/>
  <c r="L58" i="1"/>
  <c r="K58" i="1"/>
  <c r="J58" i="1"/>
  <c r="I58" i="1"/>
  <c r="H58" i="1"/>
  <c r="E58" i="1"/>
  <c r="D58" i="1"/>
  <c r="C58" i="1"/>
  <c r="C59" i="1" s="1"/>
  <c r="C63" i="1" s="1"/>
  <c r="B58" i="1"/>
  <c r="H57" i="1"/>
  <c r="B57" i="1"/>
  <c r="L56" i="1"/>
  <c r="K56" i="1"/>
  <c r="J56" i="1"/>
  <c r="I56" i="1"/>
  <c r="H56" i="1"/>
  <c r="B56" i="1"/>
  <c r="L55" i="1"/>
  <c r="K55" i="1"/>
  <c r="J55" i="1"/>
  <c r="I55" i="1"/>
  <c r="H55" i="1"/>
  <c r="B55" i="1"/>
  <c r="L54" i="1"/>
  <c r="K54" i="1"/>
  <c r="J54" i="1"/>
  <c r="I54" i="1"/>
  <c r="H54" i="1"/>
  <c r="E54" i="1"/>
  <c r="E55" i="1" s="1"/>
  <c r="E56" i="1" s="1"/>
  <c r="E57" i="1" s="1"/>
  <c r="B54" i="1"/>
  <c r="L53" i="1"/>
  <c r="K53" i="1"/>
  <c r="J53" i="1"/>
  <c r="I53" i="1"/>
  <c r="H53" i="1"/>
  <c r="E53" i="1"/>
  <c r="B53" i="1"/>
  <c r="L52" i="1"/>
  <c r="K52" i="1"/>
  <c r="J52" i="1"/>
  <c r="I52" i="1"/>
  <c r="H52" i="1"/>
  <c r="E52" i="1"/>
  <c r="D52" i="1"/>
  <c r="C52" i="1"/>
  <c r="C53" i="1" s="1"/>
  <c r="C57" i="1" s="1"/>
  <c r="B52" i="1"/>
  <c r="H51" i="1"/>
  <c r="B51" i="1"/>
  <c r="L50" i="1"/>
  <c r="K50" i="1"/>
  <c r="J50" i="1"/>
  <c r="I50" i="1"/>
  <c r="H50" i="1"/>
  <c r="B50" i="1"/>
  <c r="L49" i="1"/>
  <c r="K49" i="1"/>
  <c r="J49" i="1"/>
  <c r="I49" i="1"/>
  <c r="H49" i="1"/>
  <c r="B49" i="1"/>
  <c r="L48" i="1"/>
  <c r="K48" i="1"/>
  <c r="J48" i="1"/>
  <c r="I48" i="1"/>
  <c r="H48" i="1"/>
  <c r="E48" i="1"/>
  <c r="E49" i="1" s="1"/>
  <c r="E50" i="1" s="1"/>
  <c r="E51" i="1" s="1"/>
  <c r="B48" i="1"/>
  <c r="L47" i="1"/>
  <c r="K47" i="1"/>
  <c r="J47" i="1"/>
  <c r="I47" i="1"/>
  <c r="H47" i="1"/>
  <c r="E47" i="1"/>
  <c r="B47" i="1"/>
  <c r="L46" i="1"/>
  <c r="K46" i="1"/>
  <c r="J46" i="1"/>
  <c r="I46" i="1"/>
  <c r="H46" i="1"/>
  <c r="E46" i="1"/>
  <c r="D46" i="1"/>
  <c r="C46" i="1"/>
  <c r="C47" i="1" s="1"/>
  <c r="C51" i="1" s="1"/>
  <c r="B46" i="1"/>
  <c r="H45" i="1"/>
  <c r="B45" i="1"/>
  <c r="L44" i="1"/>
  <c r="K44" i="1"/>
  <c r="J44" i="1"/>
  <c r="I44" i="1"/>
  <c r="H44" i="1"/>
  <c r="E44" i="1"/>
  <c r="E45" i="1" s="1"/>
  <c r="B44" i="1"/>
  <c r="L43" i="1"/>
  <c r="K43" i="1"/>
  <c r="J43" i="1"/>
  <c r="I43" i="1"/>
  <c r="H43" i="1"/>
  <c r="B43" i="1"/>
  <c r="L42" i="1"/>
  <c r="K42" i="1"/>
  <c r="J42" i="1"/>
  <c r="I42" i="1"/>
  <c r="H42" i="1"/>
  <c r="E42" i="1"/>
  <c r="E43" i="1" s="1"/>
  <c r="B42" i="1"/>
  <c r="L41" i="1"/>
  <c r="K41" i="1"/>
  <c r="J41" i="1"/>
  <c r="I41" i="1"/>
  <c r="H41" i="1"/>
  <c r="E41" i="1"/>
  <c r="B41" i="1"/>
  <c r="L40" i="1"/>
  <c r="K40" i="1"/>
  <c r="J40" i="1"/>
  <c r="I40" i="1"/>
  <c r="H40" i="1"/>
  <c r="E40" i="1"/>
  <c r="D40" i="1"/>
  <c r="C40" i="1"/>
  <c r="C41" i="1" s="1"/>
  <c r="B40" i="1"/>
  <c r="H39" i="1"/>
  <c r="B39" i="1"/>
  <c r="H38" i="1"/>
  <c r="C38" i="1"/>
  <c r="C39" i="1" s="1"/>
  <c r="B38" i="1"/>
  <c r="H37" i="1"/>
  <c r="E37" i="1"/>
  <c r="C37" i="1"/>
  <c r="B37" i="1"/>
  <c r="L36" i="1"/>
  <c r="K36" i="1"/>
  <c r="J36" i="1"/>
  <c r="I36" i="1"/>
  <c r="H36" i="1"/>
  <c r="E36" i="1"/>
  <c r="D36" i="1"/>
  <c r="C36" i="1"/>
  <c r="B36" i="1"/>
  <c r="L35" i="1"/>
  <c r="K35" i="1"/>
  <c r="J35" i="1"/>
  <c r="I35" i="1"/>
  <c r="H35" i="1"/>
  <c r="E35" i="1"/>
  <c r="B35" i="1"/>
  <c r="L34" i="1"/>
  <c r="K34" i="1"/>
  <c r="J34" i="1"/>
  <c r="I34" i="1"/>
  <c r="H34" i="1"/>
  <c r="E34" i="1"/>
  <c r="B34" i="1"/>
  <c r="L33" i="1"/>
  <c r="K33" i="1"/>
  <c r="J33" i="1"/>
  <c r="I33" i="1"/>
  <c r="H33" i="1"/>
  <c r="E33" i="1"/>
  <c r="B33" i="1"/>
  <c r="L32" i="1"/>
  <c r="K32" i="1"/>
  <c r="J32" i="1"/>
  <c r="I32" i="1"/>
  <c r="H32" i="1"/>
  <c r="E32" i="1"/>
  <c r="C32" i="1"/>
  <c r="C72" i="1" s="1"/>
  <c r="B32" i="1"/>
  <c r="L31" i="1"/>
  <c r="K31" i="1"/>
  <c r="J31" i="1"/>
  <c r="I31" i="1"/>
  <c r="H31" i="1"/>
  <c r="E31" i="1"/>
  <c r="B31" i="1"/>
  <c r="L30" i="1"/>
  <c r="K30" i="1"/>
  <c r="J30" i="1"/>
  <c r="I30" i="1"/>
  <c r="H30" i="1"/>
  <c r="E30" i="1"/>
  <c r="B30" i="1"/>
  <c r="L29" i="1"/>
  <c r="K29" i="1"/>
  <c r="J29" i="1"/>
  <c r="I29" i="1"/>
  <c r="H29" i="1"/>
  <c r="E29" i="1"/>
  <c r="B29" i="1"/>
  <c r="L28" i="1"/>
  <c r="K28" i="1"/>
  <c r="J28" i="1"/>
  <c r="I28" i="1"/>
  <c r="H28" i="1"/>
  <c r="E28" i="1"/>
  <c r="C28" i="1"/>
  <c r="B28" i="1"/>
  <c r="L27" i="1"/>
  <c r="L96" i="1" s="1"/>
  <c r="K27" i="1"/>
  <c r="K96" i="1" s="1"/>
  <c r="J27" i="1"/>
  <c r="J96" i="1" s="1"/>
  <c r="I27" i="1"/>
  <c r="I96" i="1" s="1"/>
  <c r="H27" i="1"/>
  <c r="H96" i="1" s="1"/>
  <c r="E27" i="1"/>
  <c r="C27" i="1"/>
  <c r="B27" i="1"/>
  <c r="L26" i="1"/>
  <c r="K26" i="1"/>
  <c r="J26" i="1"/>
  <c r="I26" i="1"/>
  <c r="H26" i="1"/>
  <c r="B26" i="1"/>
  <c r="L25" i="1"/>
  <c r="K25" i="1"/>
  <c r="J25" i="1"/>
  <c r="I25" i="1"/>
  <c r="H25" i="1"/>
  <c r="B25" i="1"/>
  <c r="L24" i="1"/>
  <c r="K24" i="1"/>
  <c r="J24" i="1"/>
  <c r="I24" i="1"/>
  <c r="H24" i="1"/>
  <c r="C24" i="1"/>
  <c r="B24" i="1"/>
  <c r="L23" i="1"/>
  <c r="K23" i="1"/>
  <c r="J23" i="1"/>
  <c r="I23" i="1"/>
  <c r="H23" i="1"/>
  <c r="D23" i="1"/>
  <c r="C23" i="1"/>
  <c r="B23" i="1"/>
  <c r="L22" i="1"/>
  <c r="K22" i="1"/>
  <c r="J22" i="1"/>
  <c r="I22" i="1"/>
  <c r="H22" i="1"/>
  <c r="E22" i="1"/>
  <c r="D22" i="1"/>
  <c r="C22" i="1"/>
  <c r="B22" i="1"/>
  <c r="L21" i="1"/>
  <c r="K21" i="1"/>
  <c r="J21" i="1"/>
  <c r="I21" i="1"/>
  <c r="H21" i="1"/>
  <c r="E21" i="1"/>
  <c r="D109" i="1" s="1"/>
  <c r="D115" i="1" s="1"/>
  <c r="D21" i="1"/>
  <c r="C21" i="1"/>
  <c r="B21" i="1"/>
  <c r="L20" i="1"/>
  <c r="K20" i="1"/>
  <c r="J20" i="1"/>
  <c r="I20" i="1"/>
  <c r="H20" i="1"/>
  <c r="E20" i="1"/>
  <c r="D20" i="1"/>
  <c r="C20" i="1"/>
  <c r="B20" i="1"/>
  <c r="L19" i="1"/>
  <c r="K19" i="1"/>
  <c r="J19" i="1"/>
  <c r="I19" i="1"/>
  <c r="H19" i="1"/>
  <c r="E19" i="1"/>
  <c r="D19" i="1"/>
  <c r="C19" i="1"/>
  <c r="B19" i="1"/>
  <c r="G7" i="1"/>
  <c r="F7" i="1"/>
  <c r="E7" i="1"/>
  <c r="D104" i="1" l="1"/>
  <c r="D116" i="1"/>
  <c r="D89" i="1"/>
  <c r="D90" i="1" s="1"/>
  <c r="D92" i="1"/>
  <c r="D86" i="1"/>
  <c r="D83" i="1"/>
  <c r="D84" i="1" s="1"/>
  <c r="D77" i="1"/>
  <c r="D78" i="1" s="1"/>
  <c r="D80" i="1"/>
  <c r="D71" i="1"/>
  <c r="D72" i="1" s="1"/>
  <c r="D74" i="1"/>
  <c r="D68" i="1"/>
  <c r="D65" i="1"/>
  <c r="D66" i="1" s="1"/>
  <c r="E60" i="1"/>
  <c r="E61" i="1" s="1"/>
  <c r="E62" i="1" s="1"/>
  <c r="E63" i="1" s="1"/>
  <c r="F61" i="1"/>
  <c r="D59" i="1"/>
  <c r="D60" i="1" s="1"/>
  <c r="D62" i="1"/>
  <c r="D53" i="1"/>
  <c r="D54" i="1" s="1"/>
  <c r="D56" i="1"/>
  <c r="D47" i="1"/>
  <c r="D48" i="1" s="1"/>
  <c r="D50" i="1"/>
  <c r="D44" i="1"/>
  <c r="D41" i="1"/>
  <c r="D42" i="1" s="1"/>
  <c r="B105" i="1"/>
  <c r="C45" i="1"/>
  <c r="C73" i="1"/>
  <c r="C74" i="1" s="1"/>
  <c r="D75" i="1"/>
  <c r="C48" i="1"/>
  <c r="C42" i="1"/>
  <c r="C31" i="1"/>
  <c r="C66" i="1" s="1"/>
  <c r="D37" i="1"/>
  <c r="C29" i="1"/>
  <c r="C33" i="1" s="1"/>
  <c r="C78" i="1" s="1"/>
  <c r="C30" i="1"/>
  <c r="D24" i="1"/>
  <c r="D25" i="1" s="1"/>
  <c r="D26" i="1" s="1"/>
  <c r="D27" i="1"/>
  <c r="C49" i="1" l="1"/>
  <c r="C50" i="1" s="1"/>
  <c r="D51" i="1"/>
  <c r="D81" i="1"/>
  <c r="C79" i="1"/>
  <c r="C80" i="1" s="1"/>
  <c r="C43" i="1"/>
  <c r="C44" i="1" s="1"/>
  <c r="D45" i="1"/>
  <c r="C67" i="1"/>
  <c r="C68" i="1" s="1"/>
  <c r="D69" i="1"/>
  <c r="D38" i="1"/>
  <c r="C34" i="1"/>
  <c r="C84" i="1" s="1"/>
  <c r="C54" i="1"/>
  <c r="C35" i="1"/>
  <c r="C90" i="1" s="1"/>
  <c r="C60" i="1"/>
  <c r="D28" i="1"/>
  <c r="D29" i="1" s="1"/>
  <c r="D35" i="1"/>
  <c r="D31" i="1"/>
  <c r="D32" i="1"/>
  <c r="D87" i="1" l="1"/>
  <c r="C85" i="1"/>
  <c r="C86" i="1" s="1"/>
  <c r="C55" i="1"/>
  <c r="C56" i="1" s="1"/>
  <c r="D57" i="1"/>
  <c r="C91" i="1"/>
  <c r="C92" i="1" s="1"/>
  <c r="D93" i="1"/>
  <c r="C61" i="1"/>
  <c r="C62" i="1" s="1"/>
  <c r="D63" i="1"/>
  <c r="D33" i="1"/>
  <c r="D34" i="1"/>
  <c r="D30" i="1"/>
  <c r="E38" i="1"/>
  <c r="D39" i="1"/>
  <c r="E39" i="1" s="1"/>
</calcChain>
</file>

<file path=xl/sharedStrings.xml><?xml version="1.0" encoding="utf-8"?>
<sst xmlns="http://schemas.openxmlformats.org/spreadsheetml/2006/main" count="102" uniqueCount="101">
  <si>
    <t>⌂ Home</t>
  </si>
  <si>
    <t>Open DoorWardrobe width less than 2400</t>
  </si>
  <si>
    <t>Room</t>
  </si>
  <si>
    <t>HIGHT</t>
  </si>
  <si>
    <t>WIDTH</t>
  </si>
  <si>
    <t>DEPTH</t>
  </si>
  <si>
    <t>Qty</t>
  </si>
  <si>
    <t>NO OF DOOR</t>
  </si>
  <si>
    <t>Exposed Color</t>
  </si>
  <si>
    <t>Exposed SIDE</t>
  </si>
  <si>
    <t>Skirting type</t>
  </si>
  <si>
    <t>Shelf gap from door</t>
  </si>
  <si>
    <t>Back Panel fitting</t>
  </si>
  <si>
    <t>GF1</t>
  </si>
  <si>
    <t>NORMAL</t>
  </si>
  <si>
    <t>Full Length</t>
  </si>
  <si>
    <t>Grooving</t>
  </si>
  <si>
    <t>CABINET LAMINATE</t>
  </si>
  <si>
    <t>MATERIAL</t>
  </si>
  <si>
    <t>BACK PANEL
 MATERIAL</t>
  </si>
  <si>
    <t>THICKNESS OF PANEL</t>
  </si>
  <si>
    <t>BACK PANEL
 THICKNESS</t>
  </si>
  <si>
    <t>DISTANCE TO
 BACK PANEL GROVE</t>
  </si>
  <si>
    <t>SKIRTING
 HIGHT</t>
  </si>
  <si>
    <t>DOOR COLOUR</t>
  </si>
  <si>
    <t>GLOSSY/MAT</t>
  </si>
  <si>
    <t>INSET</t>
  </si>
  <si>
    <t>Inside cabinet</t>
  </si>
  <si>
    <t>L cut</t>
  </si>
  <si>
    <t>BSW</t>
  </si>
  <si>
    <t>Inside</t>
  </si>
  <si>
    <t>SINGLE DOOR SHELF AND DRAWERS</t>
  </si>
  <si>
    <t>DOOR 1</t>
  </si>
  <si>
    <t>DOOR 2</t>
  </si>
  <si>
    <t>PLYWUD</t>
  </si>
  <si>
    <t>back Screw</t>
  </si>
  <si>
    <t>NO OF SHELF ON</t>
  </si>
  <si>
    <t>Check 1</t>
  </si>
  <si>
    <t>Central and part vertical nos and size</t>
  </si>
  <si>
    <t>MDF</t>
  </si>
  <si>
    <t xml:space="preserve">NO OF SINGLE  DRAWERS </t>
  </si>
  <si>
    <t>check 2</t>
  </si>
  <si>
    <t>Back panel meassurement</t>
  </si>
  <si>
    <t>PVC</t>
  </si>
  <si>
    <t xml:space="preserve">HIGHT OF THE DRAWER </t>
  </si>
  <si>
    <t>check 3</t>
  </si>
  <si>
    <t>Hinges space available if more drawer</t>
  </si>
  <si>
    <t>NO OF DRAWER PACK IF NOT 2</t>
  </si>
  <si>
    <t>check 4</t>
  </si>
  <si>
    <t>if shelf gap provided check any shelf required full depth</t>
  </si>
  <si>
    <t>DRAWER DEPTH ONSET FROM DOOR</t>
  </si>
  <si>
    <t>DOUBLE DOOR SHELF AND DRAWERS</t>
  </si>
  <si>
    <t>Door 1&amp;2</t>
  </si>
  <si>
    <t>Door 2&amp;3</t>
  </si>
  <si>
    <t>Door 3&amp;4</t>
  </si>
  <si>
    <t>Door 4&amp;5</t>
  </si>
  <si>
    <t>RIGHT E</t>
  </si>
  <si>
    <t xml:space="preserve">NO OF DOUBLE SHELF </t>
  </si>
  <si>
    <t>LEFT E</t>
  </si>
  <si>
    <t>NO OF DOUBLE DRAWERS</t>
  </si>
  <si>
    <t>BOTH E</t>
  </si>
  <si>
    <t>NO E</t>
  </si>
  <si>
    <t>NO OF DRAWER PACK IF NOT 4</t>
  </si>
  <si>
    <t>H</t>
  </si>
  <si>
    <t>W</t>
  </si>
  <si>
    <t>N</t>
  </si>
  <si>
    <t>Panel Name</t>
  </si>
  <si>
    <t>Edge L1</t>
  </si>
  <si>
    <t>Edge L2</t>
  </si>
  <si>
    <t>Edge W1</t>
  </si>
  <si>
    <t>Edge W2</t>
  </si>
  <si>
    <t>GLOSSY</t>
  </si>
  <si>
    <t>MAT</t>
  </si>
  <si>
    <t>A</t>
  </si>
  <si>
    <t>SKIRTING SUPPORT PIECES</t>
  </si>
  <si>
    <t>Catogory</t>
  </si>
  <si>
    <t>hardwares</t>
  </si>
  <si>
    <t>Meassuremen
t/category</t>
  </si>
  <si>
    <t>Normal</t>
  </si>
  <si>
    <t>Soft</t>
  </si>
  <si>
    <t>Hinges 0 cranck</t>
  </si>
  <si>
    <t>SS</t>
  </si>
  <si>
    <t>Hinges 8 cranck</t>
  </si>
  <si>
    <t>SS soft</t>
  </si>
  <si>
    <t>Hanger rod</t>
  </si>
  <si>
    <t>Hanger road clip</t>
  </si>
  <si>
    <t>Plinth adjustable leg</t>
  </si>
  <si>
    <t>Minifix set</t>
  </si>
  <si>
    <t>Knob</t>
  </si>
  <si>
    <t>Big Handle</t>
  </si>
  <si>
    <t>Lock for drawer</t>
  </si>
  <si>
    <t>Lock for Door</t>
  </si>
  <si>
    <t>2" screw</t>
  </si>
  <si>
    <t>1.1/4 " screw</t>
  </si>
  <si>
    <t xml:space="preserve">5/8 screw </t>
  </si>
  <si>
    <t>1 " Screw</t>
  </si>
  <si>
    <t>fisher plug</t>
  </si>
  <si>
    <t>Rac 2535</t>
  </si>
  <si>
    <t>Silicon White</t>
  </si>
  <si>
    <t>Thinner</t>
  </si>
  <si>
    <t>Cotton waste (IN 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</si>
</sst>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8"/>
      <color rgb="FFFF0000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Trebuchet MS"/>
      <family val="2"/>
    </font>
    <font>
      <sz val="10"/>
      <color theme="1"/>
      <name val="Trebuchet MS"/>
      <family val="2"/>
    </font>
    <font>
      <b/>
      <sz val="10"/>
      <color theme="1"/>
      <name val="Trebuchet MS"/>
      <family val="2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double">
        <color theme="5" tint="-0.249977111117893"/>
      </left>
      <right style="double">
        <color theme="5" tint="-0.249977111117893"/>
      </right>
      <top style="double">
        <color theme="5" tint="-0.249977111117893"/>
      </top>
      <bottom style="double">
        <color theme="5" tint="-0.249977111117893"/>
      </bottom>
      <diagonal/>
    </border>
    <border>
      <left style="double">
        <color theme="5" tint="-0.249977111117893"/>
      </left>
      <right/>
      <top style="double">
        <color theme="5" tint="-0.249977111117893"/>
      </top>
      <bottom style="double">
        <color theme="5" tint="-0.249977111117893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theme="5" tint="-0.249977111117893"/>
      </left>
      <right style="thin">
        <color theme="5" tint="-0.249977111117893"/>
      </right>
      <top/>
      <bottom style="thin">
        <color theme="5" tint="-0.249977111117893"/>
      </bottom>
      <diagonal/>
    </border>
    <border>
      <left/>
      <right style="thin">
        <color indexed="64"/>
      </right>
      <top/>
      <bottom style="thin">
        <color theme="5" tint="-0.249977111117893"/>
      </bottom>
      <diagonal/>
    </border>
    <border>
      <left style="thin">
        <color indexed="64"/>
      </left>
      <right style="thin">
        <color theme="5" tint="-0.249977111117893"/>
      </right>
      <top/>
      <bottom style="thin">
        <color theme="5" tint="-0.249977111117893"/>
      </bottom>
      <diagonal/>
    </border>
    <border>
      <left style="thin">
        <color indexed="64"/>
      </left>
      <right style="thin">
        <color indexed="64"/>
      </right>
      <top/>
      <bottom style="thin">
        <color theme="5" tint="-0.249977111117893"/>
      </bottom>
      <diagonal/>
    </border>
    <border>
      <left style="thin">
        <color theme="5" tint="-0.249977111117893"/>
      </left>
      <right/>
      <top/>
      <bottom style="thin">
        <color theme="5" tint="-0.249977111117893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theme="5" tint="-0.249977111117893"/>
      </top>
      <bottom/>
      <diagonal/>
    </border>
    <border>
      <left style="thin">
        <color theme="5" tint="-0.249977111117893"/>
      </left>
      <right/>
      <top style="thin">
        <color theme="5" tint="-0.249977111117893"/>
      </top>
      <bottom style="thin">
        <color theme="5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theme="5" tint="-0.249977111117893"/>
      </top>
      <bottom style="thin">
        <color theme="5" tint="-0.249977111117893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7">
    <xf numFmtId="0" fontId="0" fillId="0" borderId="0" xfId="0"/>
    <xf numFmtId="0" fontId="2" fillId="2" borderId="0" xfId="1" applyFill="1"/>
    <xf numFmtId="0" fontId="3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4" fillId="0" borderId="2" xfId="0" applyFont="1" applyBorder="1"/>
    <xf numFmtId="0" fontId="4" fillId="0" borderId="3" xfId="0" applyFont="1" applyBorder="1"/>
    <xf numFmtId="0" fontId="0" fillId="0" borderId="3" xfId="0" applyBorder="1" applyAlignment="1">
      <alignment wrapText="1"/>
    </xf>
    <xf numFmtId="0" fontId="4" fillId="3" borderId="1" xfId="0" applyFont="1" applyFill="1" applyBorder="1" applyProtection="1">
      <protection locked="0"/>
    </xf>
    <xf numFmtId="0" fontId="4" fillId="3" borderId="3" xfId="0" applyFont="1" applyFill="1" applyBorder="1" applyProtection="1">
      <protection locked="0"/>
    </xf>
    <xf numFmtId="0" fontId="0" fillId="0" borderId="3" xfId="0" applyBorder="1"/>
    <xf numFmtId="0" fontId="0" fillId="4" borderId="4" xfId="0" applyFill="1" applyBorder="1"/>
    <xf numFmtId="0" fontId="4" fillId="4" borderId="4" xfId="0" applyFont="1" applyFill="1" applyBorder="1"/>
    <xf numFmtId="0" fontId="4" fillId="4" borderId="4" xfId="0" applyFont="1" applyFill="1" applyBorder="1" applyAlignment="1">
      <alignment wrapText="1"/>
    </xf>
    <xf numFmtId="0" fontId="4" fillId="4" borderId="5" xfId="0" applyFont="1" applyFill="1" applyBorder="1" applyAlignment="1">
      <alignment wrapText="1"/>
    </xf>
    <xf numFmtId="0" fontId="4" fillId="4" borderId="6" xfId="0" applyFont="1" applyFill="1" applyBorder="1" applyAlignment="1">
      <alignment wrapText="1"/>
    </xf>
    <xf numFmtId="0" fontId="4" fillId="4" borderId="7" xfId="0" applyFont="1" applyFill="1" applyBorder="1" applyAlignment="1">
      <alignment wrapText="1"/>
    </xf>
    <xf numFmtId="0" fontId="4" fillId="4" borderId="8" xfId="0" applyFont="1" applyFill="1" applyBorder="1" applyAlignment="1">
      <alignment wrapText="1"/>
    </xf>
    <xf numFmtId="0" fontId="4" fillId="4" borderId="3" xfId="0" applyFont="1" applyFill="1" applyBorder="1" applyAlignment="1">
      <alignment wrapText="1"/>
    </xf>
    <xf numFmtId="0" fontId="0" fillId="4" borderId="4" xfId="0" applyFill="1" applyBorder="1" applyProtection="1">
      <protection locked="0"/>
    </xf>
    <xf numFmtId="0" fontId="4" fillId="3" borderId="5" xfId="0" applyFont="1" applyFill="1" applyBorder="1" applyProtection="1">
      <protection locked="0"/>
    </xf>
    <xf numFmtId="0" fontId="4" fillId="3" borderId="6" xfId="0" applyFont="1" applyFill="1" applyBorder="1" applyProtection="1">
      <protection locked="0"/>
    </xf>
    <xf numFmtId="0" fontId="4" fillId="3" borderId="7" xfId="0" applyFont="1" applyFill="1" applyBorder="1" applyProtection="1">
      <protection locked="0"/>
    </xf>
    <xf numFmtId="0" fontId="4" fillId="3" borderId="8" xfId="0" applyFont="1" applyFill="1" applyBorder="1" applyProtection="1">
      <protection locked="0"/>
    </xf>
    <xf numFmtId="0" fontId="4" fillId="5" borderId="4" xfId="0" applyFont="1" applyFill="1" applyBorder="1"/>
    <xf numFmtId="0" fontId="4" fillId="0" borderId="9" xfId="0" applyFont="1" applyBorder="1"/>
    <xf numFmtId="0" fontId="4" fillId="0" borderId="10" xfId="0" applyFont="1" applyBorder="1"/>
    <xf numFmtId="0" fontId="4" fillId="3" borderId="11" xfId="0" applyFont="1" applyFill="1" applyBorder="1"/>
    <xf numFmtId="0" fontId="4" fillId="3" borderId="11" xfId="0" applyFont="1" applyFill="1" applyBorder="1" applyProtection="1">
      <protection locked="0"/>
    </xf>
    <xf numFmtId="0" fontId="5" fillId="6" borderId="11" xfId="0" applyFont="1" applyFill="1" applyBorder="1"/>
    <xf numFmtId="0" fontId="5" fillId="6" borderId="11" xfId="0" applyFont="1" applyFill="1" applyBorder="1" applyAlignment="1">
      <alignment horizontal="left"/>
    </xf>
    <xf numFmtId="0" fontId="5" fillId="6" borderId="11" xfId="0" applyFont="1" applyFill="1" applyBorder="1" applyAlignment="1">
      <alignment wrapText="1"/>
    </xf>
    <xf numFmtId="0" fontId="4" fillId="0" borderId="8" xfId="0" applyFont="1" applyBorder="1"/>
    <xf numFmtId="0" fontId="4" fillId="3" borderId="11" xfId="0" applyFont="1" applyFill="1" applyBorder="1" applyAlignment="1" applyProtection="1">
      <alignment horizontal="center"/>
      <protection locked="0"/>
    </xf>
    <xf numFmtId="0" fontId="4" fillId="0" borderId="0" xfId="0" applyFont="1"/>
    <xf numFmtId="0" fontId="6" fillId="0" borderId="0" xfId="0" applyFont="1"/>
    <xf numFmtId="0" fontId="0" fillId="7" borderId="0" xfId="0" applyFill="1"/>
    <xf numFmtId="0" fontId="4" fillId="0" borderId="12" xfId="0" applyFont="1" applyBorder="1"/>
    <xf numFmtId="0" fontId="4" fillId="3" borderId="12" xfId="0" applyFont="1" applyFill="1" applyBorder="1" applyProtection="1">
      <protection locked="0"/>
    </xf>
    <xf numFmtId="0" fontId="4" fillId="0" borderId="4" xfId="0" applyFont="1" applyBorder="1"/>
    <xf numFmtId="0" fontId="0" fillId="0" borderId="0" xfId="0" applyProtection="1">
      <protection locked="0"/>
    </xf>
    <xf numFmtId="0" fontId="4" fillId="3" borderId="0" xfId="0" applyFont="1" applyFill="1"/>
    <xf numFmtId="0" fontId="4" fillId="8" borderId="0" xfId="0" applyFont="1" applyFill="1" applyProtection="1">
      <protection locked="0"/>
    </xf>
    <xf numFmtId="0" fontId="4" fillId="8" borderId="0" xfId="0" applyFont="1" applyFill="1"/>
    <xf numFmtId="0" fontId="0" fillId="0" borderId="0" xfId="0" applyAlignment="1">
      <alignment wrapText="1"/>
    </xf>
    <xf numFmtId="0" fontId="0" fillId="3" borderId="0" xfId="0" applyFill="1"/>
    <xf numFmtId="0" fontId="0" fillId="8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Drop" dropLines="3" dropStyle="combo" dx="26" fmlaLink="$C$6" fmlaRange="$O$7:$O$9" noThreeD="1" sel="1" val="0"/>
</file>

<file path=xl/ctrlProps/ctrlProp2.xml><?xml version="1.0" encoding="utf-8"?>
<formControlPr xmlns="http://schemas.microsoft.com/office/spreadsheetml/2009/9/main" objectType="Drop" dropLines="3" dropStyle="combo" dx="26" fmlaLink="$D$6" fmlaRange="$O$7:$O$9" noThreeD="1" sel="1" val="0"/>
</file>

<file path=xl/ctrlProps/ctrlProp3.xml><?xml version="1.0" encoding="utf-8"?>
<formControlPr xmlns="http://schemas.microsoft.com/office/spreadsheetml/2009/9/main" objectType="Drop" dropLines="4" dropStyle="combo" dx="26" fmlaLink="$I$4" fmlaRange="$O$13:$O$16" noThreeD="1" sel="2" val="0"/>
</file>

<file path=xl/ctrlProps/ctrlProp4.xml><?xml version="1.0" encoding="utf-8"?>
<formControlPr xmlns="http://schemas.microsoft.com/office/spreadsheetml/2009/9/main" objectType="Drop" dropLines="2" dropStyle="combo" dx="26" fmlaLink="$J$6" fmlaRange="$O$20:$O$21" noThreeD="1" sel="1" val="0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Drop" dropLines="2" dropStyle="combo" dx="26" fmlaLink="$J$4" fmlaRange="$T$4:$T$5" noThreeD="1" sel="2" val="0"/>
</file>

<file path=xl/ctrlProps/ctrlProp8.xml><?xml version="1.0" encoding="utf-8"?>
<formControlPr xmlns="http://schemas.microsoft.com/office/spreadsheetml/2009/9/main" objectType="Drop" dropLines="4" dropStyle="combo" dx="26" fmlaLink="$B$101" fmlaRange="$N$101:$N$104" noThreeD="1" sel="4" val="0"/>
</file>

<file path=xl/ctrlProps/ctrlProp9.xml><?xml version="1.0" encoding="utf-8"?>
<formControlPr xmlns="http://schemas.microsoft.com/office/spreadsheetml/2009/9/main" objectType="Drop" dropLines="4" dropStyle="combo" dx="26" fmlaLink="$L$4" fmlaRange="$V$4:$V$7" noThreeD="1" sel="1" val="0"/>
</file>

<file path=xl/ctrlProps/ctrlProp10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7620</xdr:colOff>
          <xdr:row>5</xdr:row>
          <xdr:rowOff>0</xdr:rowOff>
        </xdr:from>
        <xdr:to>
          <xdr:col>2</xdr:col>
          <xdr:colOff>807720</xdr:colOff>
          <xdr:row>5</xdr:row>
          <xdr:rowOff>251460</xdr:rowOff>
        </xdr:to>
        <xdr:sp macro="" textlink="">
          <xdr:nvSpPr>
            <xdr:cNvPr id="1025" name="Drop Dow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3B5F2BBC-11D9-4807-8122-0D35E100B7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22860</xdr:colOff>
          <xdr:row>5</xdr:row>
          <xdr:rowOff>22860</xdr:rowOff>
        </xdr:from>
        <xdr:to>
          <xdr:col>3</xdr:col>
          <xdr:colOff>708660</xdr:colOff>
          <xdr:row>5</xdr:row>
          <xdr:rowOff>251460</xdr:rowOff>
        </xdr:to>
        <xdr:sp macro="" textlink="">
          <xdr:nvSpPr>
            <xdr:cNvPr id="1026" name="Drop Dow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24BD4244-99E9-4690-99C3-1F9522D4E7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22860</xdr:colOff>
          <xdr:row>3</xdr:row>
          <xdr:rowOff>22860</xdr:rowOff>
        </xdr:from>
        <xdr:to>
          <xdr:col>9</xdr:col>
          <xdr:colOff>0</xdr:colOff>
          <xdr:row>3</xdr:row>
          <xdr:rowOff>190500</xdr:rowOff>
        </xdr:to>
        <xdr:sp macro="" textlink="">
          <xdr:nvSpPr>
            <xdr:cNvPr id="1027" name="Drop Dow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12066198-1386-43A6-9061-81E874B013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22860</xdr:colOff>
          <xdr:row>5</xdr:row>
          <xdr:rowOff>22860</xdr:rowOff>
        </xdr:from>
        <xdr:to>
          <xdr:col>9</xdr:col>
          <xdr:colOff>876300</xdr:colOff>
          <xdr:row>5</xdr:row>
          <xdr:rowOff>243840</xdr:rowOff>
        </xdr:to>
        <xdr:sp macro="" textlink="">
          <xdr:nvSpPr>
            <xdr:cNvPr id="1028" name="Drop Dow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805F0A5-34A3-4715-A273-13C8C5A98C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</xdr:colOff>
          <xdr:row>0</xdr:row>
          <xdr:rowOff>0</xdr:rowOff>
        </xdr:from>
        <xdr:to>
          <xdr:col>1</xdr:col>
          <xdr:colOff>1181100</xdr:colOff>
          <xdr:row>1</xdr:row>
          <xdr:rowOff>121920</xdr:rowOff>
        </xdr:to>
        <xdr:sp macro="" textlink="">
          <xdr:nvSpPr>
            <xdr:cNvPr id="1029" name="Button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7D6AF4B9-B90C-402C-A27C-C5D1149A33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IN" sz="800" b="1" i="0" u="none" strike="noStrike" baseline="0">
                  <a:solidFill>
                    <a:srgbClr val="FF0000"/>
                  </a:solidFill>
                  <a:latin typeface="Arial"/>
                  <a:cs typeface="Arial"/>
                </a:rPr>
                <a:t>START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</xdr:colOff>
          <xdr:row>0</xdr:row>
          <xdr:rowOff>0</xdr:rowOff>
        </xdr:from>
        <xdr:to>
          <xdr:col>3</xdr:col>
          <xdr:colOff>365760</xdr:colOff>
          <xdr:row>1</xdr:row>
          <xdr:rowOff>121920</xdr:rowOff>
        </xdr:to>
        <xdr:sp macro="" textlink="">
          <xdr:nvSpPr>
            <xdr:cNvPr id="1030" name="Butto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B33A0CB8-1C2A-4EAC-952C-C1F5ED7333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IN" sz="800" b="1" i="0" u="none" strike="noStrike" baseline="0">
                  <a:solidFill>
                    <a:srgbClr val="FF0000"/>
                  </a:solidFill>
                  <a:latin typeface="Arial"/>
                  <a:cs typeface="Arial"/>
                </a:rPr>
                <a:t>CUTTING LIST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22860</xdr:colOff>
          <xdr:row>3</xdr:row>
          <xdr:rowOff>22860</xdr:rowOff>
        </xdr:from>
        <xdr:to>
          <xdr:col>10</xdr:col>
          <xdr:colOff>7620</xdr:colOff>
          <xdr:row>4</xdr:row>
          <xdr:rowOff>30480</xdr:rowOff>
        </xdr:to>
        <xdr:sp macro="" textlink="">
          <xdr:nvSpPr>
            <xdr:cNvPr id="1031" name="Drop Down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CEA79188-CE4D-4689-9BEC-97FDF70546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7620</xdr:colOff>
          <xdr:row>100</xdr:row>
          <xdr:rowOff>7620</xdr:rowOff>
        </xdr:from>
        <xdr:to>
          <xdr:col>1</xdr:col>
          <xdr:colOff>2506980</xdr:colOff>
          <xdr:row>101</xdr:row>
          <xdr:rowOff>15240</xdr:rowOff>
        </xdr:to>
        <xdr:sp macro="" textlink="">
          <xdr:nvSpPr>
            <xdr:cNvPr id="1032" name="Drop Down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3FD05C66-1EBE-40C5-9DF7-1901A13AB1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22860</xdr:colOff>
          <xdr:row>3</xdr:row>
          <xdr:rowOff>22860</xdr:rowOff>
        </xdr:from>
        <xdr:to>
          <xdr:col>12</xdr:col>
          <xdr:colOff>0</xdr:colOff>
          <xdr:row>4</xdr:row>
          <xdr:rowOff>7620</xdr:rowOff>
        </xdr:to>
        <xdr:sp macro="" textlink="">
          <xdr:nvSpPr>
            <xdr:cNvPr id="1033" name="Drop Down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84CE0FE0-5E96-4BD4-A940-5DFA226E6C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1272540</xdr:colOff>
          <xdr:row>0</xdr:row>
          <xdr:rowOff>0</xdr:rowOff>
        </xdr:from>
        <xdr:to>
          <xdr:col>1</xdr:col>
          <xdr:colOff>2446020</xdr:colOff>
          <xdr:row>1</xdr:row>
          <xdr:rowOff>121920</xdr:rowOff>
        </xdr:to>
        <xdr:sp macro="" textlink="">
          <xdr:nvSpPr>
            <xdr:cNvPr id="1034" name="Button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F3B403B-B696-4315-A4CD-76AE55450C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IN" sz="800" b="1" i="0" u="none" strike="noStrike" baseline="0">
                  <a:solidFill>
                    <a:srgbClr val="FF0000"/>
                  </a:solidFill>
                  <a:latin typeface="Arial"/>
                  <a:cs typeface="Arial"/>
                </a:rPr>
                <a:t>CHECK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ilton%20Kuruvila\Documents\Kitchen%20cutting%20list%2011926.xlsm" TargetMode="External"/><Relationship Id="rId1" Type="http://schemas.openxmlformats.org/officeDocument/2006/relationships/externalLinkPath" Target="Kitchen%20cutting%20list%20119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"/>
      <sheetName val="Sum"/>
      <sheetName val="Kitchen cab"/>
      <sheetName val="detailed c list"/>
      <sheetName val="cuttinglist"/>
      <sheetName val="kitchen final"/>
      <sheetName val="Sliding WD"/>
      <sheetName val="WD CUTTING"/>
      <sheetName val="WD Outs drawer"/>
      <sheetName val="DRESSING TABLE"/>
      <sheetName val="SIDE TABLE1"/>
      <sheetName val="SIDE TABLE"/>
      <sheetName val="L table"/>
      <sheetName val="Shutter and Frame"/>
      <sheetName val="Table"/>
      <sheetName val="Console"/>
      <sheetName val="TV unit"/>
      <sheetName val="coat"/>
      <sheetName val="Maxcut sheet"/>
      <sheetName val="Hardware Sum"/>
      <sheetName val="Hardware List"/>
    </sheetNames>
    <definedNames>
      <definedName name="Macro5"/>
      <definedName name="OPNWARCHE"/>
      <definedName name="wdSTART"/>
    </definedNames>
    <sheetDataSet>
      <sheetData sheetId="0"/>
      <sheetData sheetId="1"/>
      <sheetData sheetId="2">
        <row r="2">
          <cell r="D2">
            <v>580</v>
          </cell>
        </row>
        <row r="3">
          <cell r="D3">
            <v>700</v>
          </cell>
        </row>
        <row r="7">
          <cell r="D7">
            <v>1</v>
          </cell>
        </row>
        <row r="8">
          <cell r="D8">
            <v>17</v>
          </cell>
        </row>
        <row r="10">
          <cell r="D10">
            <v>8</v>
          </cell>
        </row>
        <row r="11">
          <cell r="D11">
            <v>100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853B719-4B3D-4060-B813-0A86C23936D5}">
  <we:reference id="wa200005502" version="1.0.0.13" store="en-US" storeType="OMEX"/>
  <we:alternateReferences>
    <we:reference id="WA200005502" version="1.0.0.13" store="" storeType="OMEX"/>
  </we:alternateReferences>
  <we:properties>
    <we:property name="docId" value="&quot;REyfSqhRA8TsdTQJ2WcPI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8607D-CBF7-4A1B-AFE1-814D26B10AFD}">
  <sheetPr codeName="Sheet9"/>
  <dimension ref="A1:V122"/>
  <sheetViews>
    <sheetView tabSelected="1" zoomScaleNormal="100" workbookViewId="0">
      <selection activeCell="H14" sqref="H14"/>
    </sheetView>
  </sheetViews>
  <sheetFormatPr defaultRowHeight="14.4" x14ac:dyDescent="0.3"/>
  <cols>
    <col min="2" max="2" width="36.6640625" customWidth="1"/>
    <col min="3" max="3" width="12.5546875" customWidth="1"/>
    <col min="4" max="4" width="10.88671875" customWidth="1"/>
    <col min="5" max="5" width="12" customWidth="1"/>
    <col min="6" max="6" width="12.33203125" customWidth="1"/>
    <col min="7" max="7" width="13.5546875" bestFit="1" customWidth="1"/>
    <col min="8" max="8" width="14" customWidth="1"/>
    <col min="9" max="9" width="13.44140625" customWidth="1"/>
    <col min="10" max="10" width="12.88671875" bestFit="1" customWidth="1"/>
    <col min="11" max="11" width="10.44140625" customWidth="1"/>
    <col min="15" max="15" width="8.88671875" hidden="1" customWidth="1"/>
  </cols>
  <sheetData>
    <row r="1" spans="1:22" x14ac:dyDescent="0.3">
      <c r="A1" s="1" t="s">
        <v>0</v>
      </c>
      <c r="E1" s="2" t="s">
        <v>1</v>
      </c>
      <c r="F1" s="2"/>
      <c r="G1" s="2"/>
    </row>
    <row r="2" spans="1:22" ht="15" thickBot="1" x14ac:dyDescent="0.35"/>
    <row r="3" spans="1:22" ht="45" thickTop="1" thickBot="1" x14ac:dyDescent="0.4"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4" t="s">
        <v>7</v>
      </c>
      <c r="H3" s="5" t="s">
        <v>8</v>
      </c>
      <c r="I3" s="6" t="s">
        <v>9</v>
      </c>
      <c r="J3" s="6" t="s">
        <v>10</v>
      </c>
      <c r="K3" s="7" t="s">
        <v>11</v>
      </c>
      <c r="L3" s="7" t="s">
        <v>12</v>
      </c>
    </row>
    <row r="4" spans="1:22" ht="16.2" thickTop="1" thickBot="1" x14ac:dyDescent="0.4">
      <c r="B4" s="8" t="s">
        <v>13</v>
      </c>
      <c r="C4" s="8">
        <v>2100</v>
      </c>
      <c r="D4" s="8">
        <v>1500</v>
      </c>
      <c r="E4" s="8">
        <v>560</v>
      </c>
      <c r="F4" s="8">
        <v>1</v>
      </c>
      <c r="G4" s="8">
        <v>3</v>
      </c>
      <c r="H4" s="9">
        <v>21091</v>
      </c>
      <c r="I4" s="10">
        <v>2</v>
      </c>
      <c r="J4" s="10">
        <v>2</v>
      </c>
      <c r="K4" s="9">
        <v>10</v>
      </c>
      <c r="L4" s="10">
        <v>1</v>
      </c>
      <c r="O4" t="s">
        <v>14</v>
      </c>
      <c r="T4" t="s">
        <v>15</v>
      </c>
      <c r="V4" t="s">
        <v>16</v>
      </c>
    </row>
    <row r="5" spans="1:22" ht="29.25" customHeight="1" thickTop="1" thickBot="1" x14ac:dyDescent="0.4">
      <c r="B5" s="11" t="s">
        <v>17</v>
      </c>
      <c r="C5" s="12" t="s">
        <v>18</v>
      </c>
      <c r="D5" s="13" t="s">
        <v>19</v>
      </c>
      <c r="E5" s="14" t="s">
        <v>20</v>
      </c>
      <c r="F5" s="15" t="s">
        <v>21</v>
      </c>
      <c r="G5" s="16" t="s">
        <v>22</v>
      </c>
      <c r="H5" s="17" t="s">
        <v>23</v>
      </c>
      <c r="I5" s="18" t="s">
        <v>24</v>
      </c>
      <c r="J5" s="18" t="s">
        <v>25</v>
      </c>
      <c r="O5" t="s">
        <v>26</v>
      </c>
      <c r="T5" t="s">
        <v>27</v>
      </c>
      <c r="V5" t="s">
        <v>28</v>
      </c>
    </row>
    <row r="6" spans="1:22" ht="20.25" customHeight="1" thickTop="1" thickBot="1" x14ac:dyDescent="0.4">
      <c r="B6" s="19" t="s">
        <v>29</v>
      </c>
      <c r="C6" s="12">
        <v>1</v>
      </c>
      <c r="D6" s="12">
        <v>1</v>
      </c>
      <c r="E6" s="20">
        <v>18</v>
      </c>
      <c r="F6" s="21">
        <v>8</v>
      </c>
      <c r="G6" s="22">
        <v>19</v>
      </c>
      <c r="H6" s="23">
        <v>100</v>
      </c>
      <c r="I6" s="9">
        <v>10510</v>
      </c>
      <c r="J6" s="10">
        <v>1</v>
      </c>
      <c r="V6" t="s">
        <v>30</v>
      </c>
    </row>
    <row r="7" spans="1:22" ht="20.25" customHeight="1" thickTop="1" x14ac:dyDescent="0.35">
      <c r="B7" s="24" t="s">
        <v>31</v>
      </c>
      <c r="C7" s="25" t="s">
        <v>32</v>
      </c>
      <c r="D7" s="25" t="s">
        <v>33</v>
      </c>
      <c r="E7" s="25" t="str">
        <f>IF(G4&lt;3,0,"DOOR 3")</f>
        <v>DOOR 3</v>
      </c>
      <c r="F7" s="25">
        <f>IF(G4&lt;4,0,"DOOR 4")</f>
        <v>0</v>
      </c>
      <c r="G7" s="25">
        <f>IF(G4&lt;5,0,"DOOR 5")</f>
        <v>0</v>
      </c>
      <c r="O7" t="s">
        <v>34</v>
      </c>
      <c r="V7" t="s">
        <v>35</v>
      </c>
    </row>
    <row r="8" spans="1:22" ht="15" x14ac:dyDescent="0.35">
      <c r="B8" s="26" t="s">
        <v>36</v>
      </c>
      <c r="C8" s="27">
        <v>2</v>
      </c>
      <c r="D8" s="27">
        <v>2</v>
      </c>
      <c r="E8" s="27">
        <v>2</v>
      </c>
      <c r="F8" s="28"/>
      <c r="G8" s="28"/>
      <c r="I8" s="29" t="s">
        <v>37</v>
      </c>
      <c r="J8" s="30" t="s">
        <v>38</v>
      </c>
      <c r="K8" s="30"/>
      <c r="L8" s="30"/>
      <c r="M8" s="30"/>
      <c r="O8" t="s">
        <v>39</v>
      </c>
    </row>
    <row r="9" spans="1:22" ht="15" x14ac:dyDescent="0.35">
      <c r="B9" s="26" t="s">
        <v>40</v>
      </c>
      <c r="C9" s="27">
        <v>1</v>
      </c>
      <c r="D9" s="27"/>
      <c r="E9" s="27"/>
      <c r="F9" s="27"/>
      <c r="G9" s="28"/>
      <c r="I9" s="31" t="s">
        <v>41</v>
      </c>
      <c r="J9" s="30" t="s">
        <v>42</v>
      </c>
      <c r="K9" s="30"/>
      <c r="L9" s="30"/>
      <c r="M9" s="30"/>
      <c r="O9" t="s">
        <v>43</v>
      </c>
    </row>
    <row r="10" spans="1:22" ht="15" x14ac:dyDescent="0.35">
      <c r="B10" s="26" t="s">
        <v>44</v>
      </c>
      <c r="C10" s="27">
        <v>200</v>
      </c>
      <c r="D10" s="27"/>
      <c r="E10" s="27"/>
      <c r="F10" s="27"/>
      <c r="G10" s="28"/>
      <c r="I10" s="29" t="s">
        <v>45</v>
      </c>
      <c r="J10" s="30" t="s">
        <v>46</v>
      </c>
      <c r="K10" s="30"/>
      <c r="L10" s="30"/>
      <c r="M10" s="30"/>
    </row>
    <row r="11" spans="1:22" ht="15" x14ac:dyDescent="0.35">
      <c r="B11" s="32" t="s">
        <v>47</v>
      </c>
      <c r="C11" s="28">
        <v>1</v>
      </c>
      <c r="D11" s="28"/>
      <c r="E11" s="28"/>
      <c r="F11" s="28"/>
      <c r="G11" s="28"/>
      <c r="I11" s="29" t="s">
        <v>48</v>
      </c>
      <c r="J11" s="29" t="s">
        <v>49</v>
      </c>
    </row>
    <row r="12" spans="1:22" ht="15" x14ac:dyDescent="0.35">
      <c r="B12" s="32" t="s">
        <v>50</v>
      </c>
      <c r="C12" s="28">
        <v>50</v>
      </c>
      <c r="D12" s="33"/>
      <c r="E12" s="33"/>
      <c r="F12" s="33"/>
      <c r="G12" s="33"/>
    </row>
    <row r="13" spans="1:22" ht="20.25" customHeight="1" x14ac:dyDescent="0.35">
      <c r="B13" s="24" t="s">
        <v>51</v>
      </c>
      <c r="C13" s="24" t="s">
        <v>52</v>
      </c>
      <c r="D13" s="24" t="s">
        <v>53</v>
      </c>
      <c r="E13" s="24" t="s">
        <v>54</v>
      </c>
      <c r="F13" s="24" t="s">
        <v>55</v>
      </c>
      <c r="G13" s="34"/>
      <c r="K13" s="35"/>
      <c r="O13" s="36" t="s">
        <v>56</v>
      </c>
    </row>
    <row r="14" spans="1:22" ht="20.25" customHeight="1" x14ac:dyDescent="0.35">
      <c r="B14" s="37" t="s">
        <v>57</v>
      </c>
      <c r="C14" s="38"/>
      <c r="D14" s="38">
        <v>2</v>
      </c>
      <c r="E14" s="38"/>
      <c r="F14" s="38"/>
      <c r="G14" s="34"/>
      <c r="K14" s="35"/>
      <c r="O14" s="36" t="s">
        <v>58</v>
      </c>
    </row>
    <row r="15" spans="1:22" ht="20.25" customHeight="1" x14ac:dyDescent="0.35">
      <c r="B15" s="37" t="s">
        <v>59</v>
      </c>
      <c r="C15" s="38"/>
      <c r="D15" s="38">
        <v>1</v>
      </c>
      <c r="E15" s="38"/>
      <c r="F15" s="38"/>
      <c r="G15" s="34"/>
      <c r="K15" s="35"/>
      <c r="O15" s="36" t="s">
        <v>60</v>
      </c>
    </row>
    <row r="16" spans="1:22" ht="20.25" customHeight="1" x14ac:dyDescent="0.35">
      <c r="B16" s="37" t="s">
        <v>44</v>
      </c>
      <c r="C16" s="38"/>
      <c r="D16" s="38">
        <v>200</v>
      </c>
      <c r="E16" s="38"/>
      <c r="F16" s="38"/>
      <c r="G16" s="34"/>
      <c r="O16" s="36" t="s">
        <v>61</v>
      </c>
    </row>
    <row r="17" spans="1:15" ht="15" x14ac:dyDescent="0.35">
      <c r="B17" s="39" t="s">
        <v>62</v>
      </c>
      <c r="C17" s="28"/>
      <c r="D17" s="28">
        <v>3</v>
      </c>
      <c r="E17" s="28"/>
      <c r="F17" s="28"/>
      <c r="G17" s="34"/>
      <c r="O17" s="36"/>
    </row>
    <row r="18" spans="1:15" x14ac:dyDescent="0.3">
      <c r="C18" t="s">
        <v>63</v>
      </c>
      <c r="D18" t="s">
        <v>64</v>
      </c>
      <c r="E18" s="40" t="s">
        <v>65</v>
      </c>
      <c r="H18" t="s">
        <v>66</v>
      </c>
      <c r="I18" t="s">
        <v>67</v>
      </c>
      <c r="J18" t="s">
        <v>68</v>
      </c>
      <c r="K18" t="s">
        <v>69</v>
      </c>
      <c r="L18" t="s">
        <v>70</v>
      </c>
    </row>
    <row r="19" spans="1:15" ht="15" x14ac:dyDescent="0.35">
      <c r="A19" s="34"/>
      <c r="B19" s="34" t="str">
        <f>B4&amp;" WB Side Leg R"</f>
        <v>GF1 WB Side Leg R</v>
      </c>
      <c r="C19" s="34">
        <f>C4</f>
        <v>2100</v>
      </c>
      <c r="D19" s="34">
        <f>IF(I4=1,E4,IF(I4=3,E4,IF(L4=4,E4-F6,E4)))</f>
        <v>560</v>
      </c>
      <c r="E19" s="34">
        <f>F4</f>
        <v>1</v>
      </c>
      <c r="F19" s="34"/>
      <c r="G19" s="34"/>
      <c r="H19" s="34" t="str">
        <f>IF(C6=1,IF(I4=1,H4,IF(I4=3,H4,B6)),IF(C6=3,IF(I4=1,LEFT(B6,3)&amp;H4,IF(I4=3,LEFT(B6,3)&amp;H$4,B6))&amp;"mdf"))</f>
        <v>BSW</v>
      </c>
      <c r="I19" s="34" t="str">
        <f>"22*.8("&amp;$H$4&amp;")"</f>
        <v>22*.8(21091)</v>
      </c>
      <c r="J19" s="34" t="str">
        <f t="shared" ref="J19:L20" si="0">"22*.8("&amp;$H$4&amp;")"</f>
        <v>22*.8(21091)</v>
      </c>
      <c r="K19" s="34" t="str">
        <f t="shared" si="0"/>
        <v>22*.8(21091)</v>
      </c>
      <c r="L19" s="34" t="str">
        <f t="shared" si="0"/>
        <v>22*.8(21091)</v>
      </c>
    </row>
    <row r="20" spans="1:15" ht="15" x14ac:dyDescent="0.35">
      <c r="A20" s="34"/>
      <c r="B20" s="34" t="str">
        <f>B4&amp;" WB Side Leg L"</f>
        <v>GF1 WB Side Leg L</v>
      </c>
      <c r="C20" s="34">
        <f>C4</f>
        <v>2100</v>
      </c>
      <c r="D20" s="34">
        <f>IF(I4=2,E4,IF(I4=3,E4,IF(L4=4,E4-F6,E4)))</f>
        <v>560</v>
      </c>
      <c r="E20" s="34">
        <f>F4</f>
        <v>1</v>
      </c>
      <c r="F20" s="34"/>
      <c r="G20" s="34"/>
      <c r="H20" s="34">
        <f>IF(C6=1,IF(I4=2,H4,IF(I4=3,H4,B6)),IF(C6=3,IF(I4=2,LEFT(B6,3)&amp;H4,IF(I4=3,LEFT(B6,3)&amp;H$4,E6&amp;B6)),"mdf"))</f>
        <v>21091</v>
      </c>
      <c r="I20" s="34" t="str">
        <f t="shared" ref="I20:I26" si="1">"22*.8("&amp;$H$4&amp;")"</f>
        <v>22*.8(21091)</v>
      </c>
      <c r="J20" s="34" t="str">
        <f t="shared" si="0"/>
        <v>22*.8(21091)</v>
      </c>
      <c r="K20" s="34" t="str">
        <f t="shared" si="0"/>
        <v>22*.8(21091)</v>
      </c>
      <c r="L20" s="34" t="str">
        <f t="shared" si="0"/>
        <v>22*.8(21091)</v>
      </c>
      <c r="O20" s="36" t="s">
        <v>71</v>
      </c>
    </row>
    <row r="21" spans="1:15" ht="15" x14ac:dyDescent="0.35">
      <c r="A21" s="34"/>
      <c r="B21" s="34" t="str">
        <f>B$4&amp;" WB Top"</f>
        <v>GF1 WB Top</v>
      </c>
      <c r="C21" s="34">
        <f>D4-E6*2</f>
        <v>1464</v>
      </c>
      <c r="D21" s="34">
        <f>IF(G6=0,E4-F6,E4)</f>
        <v>560</v>
      </c>
      <c r="E21" s="34">
        <f>F4</f>
        <v>1</v>
      </c>
      <c r="F21" s="34"/>
      <c r="G21" s="34"/>
      <c r="H21" s="34" t="str">
        <f t="shared" ref="H21:H35" si="2">B$6</f>
        <v>BSW</v>
      </c>
      <c r="I21" s="34" t="str">
        <f t="shared" si="1"/>
        <v>22*.8(21091)</v>
      </c>
      <c r="J21" s="34" t="str">
        <f>"22*.8("&amp;$B$6&amp;")"</f>
        <v>22*.8(BSW)</v>
      </c>
      <c r="K21" s="34" t="str">
        <f t="shared" ref="K21:L35" si="3">"22*.8("&amp;$B$6&amp;")"</f>
        <v>22*.8(BSW)</v>
      </c>
      <c r="L21" s="34" t="str">
        <f t="shared" si="3"/>
        <v>22*.8(BSW)</v>
      </c>
      <c r="O21" s="36" t="s">
        <v>72</v>
      </c>
    </row>
    <row r="22" spans="1:15" ht="15" x14ac:dyDescent="0.35">
      <c r="A22" s="34"/>
      <c r="B22" s="34" t="str">
        <f>B$4&amp;" WB Bottom"</f>
        <v>GF1 WB Bottom</v>
      </c>
      <c r="C22" s="34">
        <f>D4-2*E6</f>
        <v>1464</v>
      </c>
      <c r="D22" s="34">
        <f>E4-G6-F6</f>
        <v>533</v>
      </c>
      <c r="E22" s="34">
        <f>F4</f>
        <v>1</v>
      </c>
      <c r="F22" s="34"/>
      <c r="G22" s="34"/>
      <c r="H22" s="34" t="str">
        <f t="shared" si="2"/>
        <v>BSW</v>
      </c>
      <c r="I22" s="34" t="str">
        <f t="shared" si="1"/>
        <v>22*.8(21091)</v>
      </c>
      <c r="J22" s="34" t="str">
        <f t="shared" ref="J22:J35" si="4">"22*.8("&amp;$B$6&amp;")"</f>
        <v>22*.8(BSW)</v>
      </c>
      <c r="K22" s="34" t="str">
        <f t="shared" si="3"/>
        <v>22*.8(BSW)</v>
      </c>
      <c r="L22" s="34" t="str">
        <f t="shared" si="3"/>
        <v>22*.8(BSW)</v>
      </c>
    </row>
    <row r="23" spans="1:15" ht="15" x14ac:dyDescent="0.35">
      <c r="A23" s="34"/>
      <c r="B23" s="41" t="str">
        <f>B$4&amp;" WB CENTRE VERTICAL"</f>
        <v>GF1 WB CENTRE VERTICAL</v>
      </c>
      <c r="C23" s="34">
        <f>C4-H6-E6*2</f>
        <v>1964</v>
      </c>
      <c r="D23" s="34">
        <f>E4-G6-F6</f>
        <v>533</v>
      </c>
      <c r="E23" s="42">
        <v>2</v>
      </c>
      <c r="F23" s="34"/>
      <c r="G23" s="34"/>
      <c r="H23" s="34" t="str">
        <f t="shared" si="2"/>
        <v>BSW</v>
      </c>
      <c r="I23" s="34" t="str">
        <f t="shared" si="1"/>
        <v>22*.8(21091)</v>
      </c>
      <c r="J23" s="34" t="str">
        <f t="shared" si="4"/>
        <v>22*.8(BSW)</v>
      </c>
      <c r="K23" s="34" t="str">
        <f t="shared" si="3"/>
        <v>22*.8(BSW)</v>
      </c>
      <c r="L23" s="34" t="str">
        <f t="shared" si="3"/>
        <v>22*.8(BSW)</v>
      </c>
    </row>
    <row r="24" spans="1:15" ht="15" x14ac:dyDescent="0.35">
      <c r="A24" s="34"/>
      <c r="B24" s="41" t="str">
        <f>B$4&amp;" WB CENTRE VERTICAL-PART "</f>
        <v xml:space="preserve">GF1 WB CENTRE VERTICAL-PART </v>
      </c>
      <c r="C24" s="42">
        <f>2085-100-36-1018</f>
        <v>931</v>
      </c>
      <c r="D24" s="34">
        <f>D23-K4</f>
        <v>523</v>
      </c>
      <c r="E24" s="42">
        <v>1</v>
      </c>
      <c r="F24" s="34"/>
      <c r="G24" s="34" t="s">
        <v>73</v>
      </c>
      <c r="H24" s="34" t="str">
        <f t="shared" si="2"/>
        <v>BSW</v>
      </c>
      <c r="I24" s="34" t="str">
        <f t="shared" si="1"/>
        <v>22*.8(21091)</v>
      </c>
      <c r="J24" s="34" t="str">
        <f t="shared" si="4"/>
        <v>22*.8(BSW)</v>
      </c>
      <c r="K24" s="34" t="str">
        <f t="shared" si="3"/>
        <v>22*.8(BSW)</v>
      </c>
      <c r="L24" s="34" t="str">
        <f t="shared" si="3"/>
        <v>22*.8(BSW)</v>
      </c>
    </row>
    <row r="25" spans="1:15" ht="15" x14ac:dyDescent="0.35">
      <c r="A25" s="34"/>
      <c r="B25" s="41" t="str">
        <f>B$4&amp;" WB CENTRE VERTICAL-PART "</f>
        <v xml:space="preserve">GF1 WB CENTRE VERTICAL-PART </v>
      </c>
      <c r="C25" s="42">
        <v>732</v>
      </c>
      <c r="D25" s="34">
        <f>D24</f>
        <v>523</v>
      </c>
      <c r="E25" s="42"/>
      <c r="F25" s="34"/>
      <c r="G25" s="34"/>
      <c r="H25" s="34" t="str">
        <f t="shared" si="2"/>
        <v>BSW</v>
      </c>
      <c r="I25" s="34" t="str">
        <f t="shared" si="1"/>
        <v>22*.8(21091)</v>
      </c>
      <c r="J25" s="34" t="str">
        <f t="shared" si="4"/>
        <v>22*.8(BSW)</v>
      </c>
      <c r="K25" s="34" t="str">
        <f t="shared" si="3"/>
        <v>22*.8(BSW)</v>
      </c>
      <c r="L25" s="34" t="str">
        <f t="shared" si="3"/>
        <v>22*.8(BSW)</v>
      </c>
    </row>
    <row r="26" spans="1:15" ht="15" x14ac:dyDescent="0.35">
      <c r="A26" s="34"/>
      <c r="B26" s="41" t="str">
        <f>B$4&amp;" WB CENTRE VERTICAL-PART "</f>
        <v xml:space="preserve">GF1 WB CENTRE VERTICAL-PART </v>
      </c>
      <c r="C26" s="42">
        <v>963</v>
      </c>
      <c r="D26" s="34">
        <f>D25</f>
        <v>523</v>
      </c>
      <c r="E26" s="42"/>
      <c r="F26" s="34"/>
      <c r="G26" s="34"/>
      <c r="H26" s="34" t="str">
        <f t="shared" si="2"/>
        <v>BSW</v>
      </c>
      <c r="I26" s="34" t="str">
        <f t="shared" si="1"/>
        <v>22*.8(21091)</v>
      </c>
      <c r="J26" s="34" t="str">
        <f t="shared" si="4"/>
        <v>22*.8(BSW)</v>
      </c>
      <c r="K26" s="34" t="str">
        <f t="shared" si="3"/>
        <v>22*.8(BSW)</v>
      </c>
      <c r="L26" s="34" t="str">
        <f t="shared" si="3"/>
        <v>22*.8(BSW)</v>
      </c>
    </row>
    <row r="27" spans="1:15" ht="15" x14ac:dyDescent="0.35">
      <c r="A27" s="34"/>
      <c r="B27" s="34" t="str">
        <f>B$4&amp;" "&amp;C7&amp;" WB shelf"</f>
        <v>GF1 DOOR 1 WB shelf</v>
      </c>
      <c r="C27" s="34">
        <f>IF(G4&gt;1,ROUND((D4/G4)-(E6+E6/2),0),C22)</f>
        <v>473</v>
      </c>
      <c r="D27" s="34">
        <f>D23-K4</f>
        <v>523</v>
      </c>
      <c r="E27" s="34">
        <f>F4*C8</f>
        <v>2</v>
      </c>
      <c r="F27" s="34"/>
      <c r="G27" s="34"/>
      <c r="H27" s="34" t="str">
        <f t="shared" si="2"/>
        <v>BSW</v>
      </c>
      <c r="I27" s="34" t="str">
        <f t="shared" ref="I27:I35" si="5">"22*.8("&amp;$B$6&amp;")"</f>
        <v>22*.8(BSW)</v>
      </c>
      <c r="J27" s="34" t="str">
        <f t="shared" si="4"/>
        <v>22*.8(BSW)</v>
      </c>
      <c r="K27" s="34" t="str">
        <f t="shared" si="3"/>
        <v>22*.8(BSW)</v>
      </c>
      <c r="L27" s="34" t="str">
        <f t="shared" si="3"/>
        <v>22*.8(BSW)</v>
      </c>
    </row>
    <row r="28" spans="1:15" ht="15" x14ac:dyDescent="0.35">
      <c r="A28" s="34"/>
      <c r="B28" s="34" t="str">
        <f>B$4&amp;" "&amp;D7&amp;" WB shelf"</f>
        <v>GF1 DOOR 2 WB shelf</v>
      </c>
      <c r="C28" s="34">
        <f>IF(G4&gt;2,ROUND((D4/G4)-E6,0),ROUND((D4/G4)-(E6+E6/2),0))</f>
        <v>482</v>
      </c>
      <c r="D28" s="34">
        <f>D27</f>
        <v>523</v>
      </c>
      <c r="E28" s="34">
        <f>F4*D8</f>
        <v>2</v>
      </c>
      <c r="F28" s="34"/>
      <c r="G28" s="34"/>
      <c r="H28" s="34" t="str">
        <f t="shared" si="2"/>
        <v>BSW</v>
      </c>
      <c r="I28" s="34" t="str">
        <f t="shared" si="5"/>
        <v>22*.8(BSW)</v>
      </c>
      <c r="J28" s="34" t="str">
        <f t="shared" si="4"/>
        <v>22*.8(BSW)</v>
      </c>
      <c r="K28" s="34" t="str">
        <f t="shared" si="3"/>
        <v>22*.8(BSW)</v>
      </c>
      <c r="L28" s="34" t="str">
        <f t="shared" si="3"/>
        <v>22*.8(BSW)</v>
      </c>
    </row>
    <row r="29" spans="1:15" ht="15" x14ac:dyDescent="0.35">
      <c r="A29" s="34"/>
      <c r="B29" s="34" t="str">
        <f>B$4&amp;" "&amp;E7&amp;" WB shelf"</f>
        <v>GF1 DOOR 3 WB shelf</v>
      </c>
      <c r="C29" s="34">
        <f>IF(G4&gt;3,C28,C27)</f>
        <v>473</v>
      </c>
      <c r="D29" s="34">
        <f>D28</f>
        <v>523</v>
      </c>
      <c r="E29" s="34">
        <f>F4*E8</f>
        <v>2</v>
      </c>
      <c r="F29" s="34"/>
      <c r="G29" s="34"/>
      <c r="H29" s="34" t="str">
        <f t="shared" si="2"/>
        <v>BSW</v>
      </c>
      <c r="I29" s="34" t="str">
        <f t="shared" si="5"/>
        <v>22*.8(BSW)</v>
      </c>
      <c r="J29" s="34" t="str">
        <f t="shared" si="4"/>
        <v>22*.8(BSW)</v>
      </c>
      <c r="K29" s="34" t="str">
        <f t="shared" si="3"/>
        <v>22*.8(BSW)</v>
      </c>
      <c r="L29" s="34" t="str">
        <f t="shared" si="3"/>
        <v>22*.8(BSW)</v>
      </c>
    </row>
    <row r="30" spans="1:15" ht="15" x14ac:dyDescent="0.35">
      <c r="A30" s="34"/>
      <c r="B30" s="34" t="str">
        <f>B$4&amp;" "&amp;F7&amp;" WB shelf 1"</f>
        <v>GF1 0 WB shelf 1</v>
      </c>
      <c r="C30" s="34">
        <f>IF(G4&lt;5,C27,C29)</f>
        <v>473</v>
      </c>
      <c r="D30" s="34">
        <f>D29</f>
        <v>523</v>
      </c>
      <c r="E30" s="34">
        <f>IF(G4&lt;4,0,F8*F4)</f>
        <v>0</v>
      </c>
      <c r="F30" s="34"/>
      <c r="G30" s="34"/>
      <c r="H30" s="34" t="str">
        <f t="shared" si="2"/>
        <v>BSW</v>
      </c>
      <c r="I30" s="34" t="str">
        <f t="shared" si="5"/>
        <v>22*.8(BSW)</v>
      </c>
      <c r="J30" s="34" t="str">
        <f t="shared" si="4"/>
        <v>22*.8(BSW)</v>
      </c>
      <c r="K30" s="34" t="str">
        <f t="shared" si="3"/>
        <v>22*.8(BSW)</v>
      </c>
      <c r="L30" s="34" t="str">
        <f t="shared" si="3"/>
        <v>22*.8(BSW)</v>
      </c>
    </row>
    <row r="31" spans="1:15" ht="15" x14ac:dyDescent="0.35">
      <c r="A31" s="34"/>
      <c r="B31" s="34" t="str">
        <f>B$4&amp;" "&amp;G7&amp;" WB shelf 1"</f>
        <v>GF1 0 WB shelf 1</v>
      </c>
      <c r="C31" s="34">
        <f>C27</f>
        <v>473</v>
      </c>
      <c r="D31" s="34">
        <f>D27</f>
        <v>523</v>
      </c>
      <c r="E31" s="34">
        <f>G8*F4</f>
        <v>0</v>
      </c>
      <c r="F31" s="34"/>
      <c r="G31" s="34"/>
      <c r="H31" s="34" t="str">
        <f t="shared" si="2"/>
        <v>BSW</v>
      </c>
      <c r="I31" s="34" t="str">
        <f t="shared" si="5"/>
        <v>22*.8(BSW)</v>
      </c>
      <c r="J31" s="34" t="str">
        <f t="shared" si="4"/>
        <v>22*.8(BSW)</v>
      </c>
      <c r="K31" s="34" t="str">
        <f t="shared" si="3"/>
        <v>22*.8(BSW)</v>
      </c>
      <c r="L31" s="34" t="str">
        <f t="shared" si="3"/>
        <v>22*.8(BSW)</v>
      </c>
    </row>
    <row r="32" spans="1:15" ht="15" x14ac:dyDescent="0.35">
      <c r="A32" s="34"/>
      <c r="B32" s="34" t="str">
        <f>B$4&amp;" Wbdouble  shelf 1&amp;2"</f>
        <v>GF1 Wbdouble  shelf 1&amp;2</v>
      </c>
      <c r="C32" s="34">
        <f>(IF(G4&lt;3,D4-E6*2,ROUND(((D4/G4)*2-(E6+E6/2)),0)))</f>
        <v>973</v>
      </c>
      <c r="D32" s="34">
        <f>D27</f>
        <v>523</v>
      </c>
      <c r="E32" s="34">
        <f>C14*F4</f>
        <v>0</v>
      </c>
      <c r="F32" s="34"/>
      <c r="G32" s="34"/>
      <c r="H32" s="34" t="str">
        <f t="shared" si="2"/>
        <v>BSW</v>
      </c>
      <c r="I32" s="34" t="str">
        <f t="shared" si="5"/>
        <v>22*.8(BSW)</v>
      </c>
      <c r="J32" s="34" t="str">
        <f t="shared" si="4"/>
        <v>22*.8(BSW)</v>
      </c>
      <c r="K32" s="34" t="str">
        <f t="shared" si="3"/>
        <v>22*.8(BSW)</v>
      </c>
      <c r="L32" s="34" t="str">
        <f t="shared" si="3"/>
        <v>22*.8(BSW)</v>
      </c>
    </row>
    <row r="33" spans="1:12" ht="15" x14ac:dyDescent="0.35">
      <c r="A33" s="34"/>
      <c r="B33" s="34" t="str">
        <f>B$4&amp;" Wbdouble  shelf 2&amp;3"</f>
        <v>GF1 Wbdouble  shelf 2&amp;3</v>
      </c>
      <c r="C33" s="34">
        <f>C28+C29+E6</f>
        <v>973</v>
      </c>
      <c r="D33" s="34">
        <f>D29</f>
        <v>523</v>
      </c>
      <c r="E33" s="34">
        <f>D14*F4</f>
        <v>2</v>
      </c>
      <c r="F33" s="34"/>
      <c r="G33" s="34"/>
      <c r="H33" s="34" t="str">
        <f t="shared" si="2"/>
        <v>BSW</v>
      </c>
      <c r="I33" s="34" t="str">
        <f t="shared" si="5"/>
        <v>22*.8(BSW)</v>
      </c>
      <c r="J33" s="34" t="str">
        <f t="shared" si="4"/>
        <v>22*.8(BSW)</v>
      </c>
      <c r="K33" s="34" t="str">
        <f t="shared" si="3"/>
        <v>22*.8(BSW)</v>
      </c>
      <c r="L33" s="34" t="str">
        <f t="shared" si="3"/>
        <v>22*.8(BSW)</v>
      </c>
    </row>
    <row r="34" spans="1:12" ht="15" x14ac:dyDescent="0.35">
      <c r="A34" s="34"/>
      <c r="B34" s="34" t="str">
        <f>B$4&amp;" Wbdouble  shelf 3&amp;4"</f>
        <v>GF1 Wbdouble  shelf 3&amp;4</v>
      </c>
      <c r="C34" s="34">
        <f>C29+C30+E6</f>
        <v>964</v>
      </c>
      <c r="D34" s="34">
        <f>D29</f>
        <v>523</v>
      </c>
      <c r="E34" s="34">
        <f>IF(G4&lt;4,0,E14*F4)</f>
        <v>0</v>
      </c>
      <c r="F34" s="34"/>
      <c r="G34" s="34"/>
      <c r="H34" s="34" t="str">
        <f t="shared" si="2"/>
        <v>BSW</v>
      </c>
      <c r="I34" s="34" t="str">
        <f t="shared" si="5"/>
        <v>22*.8(BSW)</v>
      </c>
      <c r="J34" s="34" t="str">
        <f t="shared" si="4"/>
        <v>22*.8(BSW)</v>
      </c>
      <c r="K34" s="34" t="str">
        <f t="shared" si="3"/>
        <v>22*.8(BSW)</v>
      </c>
      <c r="L34" s="34" t="str">
        <f t="shared" si="3"/>
        <v>22*.8(BSW)</v>
      </c>
    </row>
    <row r="35" spans="1:12" ht="15" x14ac:dyDescent="0.35">
      <c r="A35" s="34"/>
      <c r="B35" s="34" t="str">
        <f>B$4&amp;" Wbdouble  shelf 4&amp;5"</f>
        <v>GF1 Wbdouble  shelf 4&amp;5</v>
      </c>
      <c r="C35" s="34">
        <f>C30+C31+E6</f>
        <v>964</v>
      </c>
      <c r="D35" s="34">
        <f>D27</f>
        <v>523</v>
      </c>
      <c r="E35" s="34">
        <f>IF(G4&lt;5,0,F14*F4)</f>
        <v>0</v>
      </c>
      <c r="F35" s="34"/>
      <c r="G35" s="34"/>
      <c r="H35" s="34" t="str">
        <f t="shared" si="2"/>
        <v>BSW</v>
      </c>
      <c r="I35" s="34" t="str">
        <f t="shared" si="5"/>
        <v>22*.8(BSW)</v>
      </c>
      <c r="J35" s="34" t="str">
        <f t="shared" si="4"/>
        <v>22*.8(BSW)</v>
      </c>
      <c r="K35" s="34" t="str">
        <f t="shared" si="3"/>
        <v>22*.8(BSW)</v>
      </c>
      <c r="L35" s="34" t="str">
        <f t="shared" si="3"/>
        <v>22*.8(BSW)</v>
      </c>
    </row>
    <row r="36" spans="1:12" ht="15" x14ac:dyDescent="0.35">
      <c r="A36" s="34"/>
      <c r="B36" s="34" t="str">
        <f>B$4&amp;" SKIRTING"</f>
        <v>GF1 SKIRTING</v>
      </c>
      <c r="C36" s="34">
        <f>IF(J$4&gt;1,D4-2*E6,D4+160)</f>
        <v>1464</v>
      </c>
      <c r="D36" s="34">
        <f>H6</f>
        <v>100</v>
      </c>
      <c r="E36" s="34">
        <f>F4</f>
        <v>1</v>
      </c>
      <c r="F36" s="34"/>
      <c r="G36" s="34"/>
      <c r="H36" s="34">
        <f>I6</f>
        <v>10510</v>
      </c>
      <c r="I36" s="34" t="str">
        <f>"22*.8("&amp;$H$4&amp;")"</f>
        <v>22*.8(21091)</v>
      </c>
      <c r="J36" s="34" t="str">
        <f>"22*.8("&amp;$H$4&amp;")"</f>
        <v>22*.8(21091)</v>
      </c>
      <c r="K36" s="34" t="str">
        <f>"22*.8("&amp;$H$4&amp;")"</f>
        <v>22*.8(21091)</v>
      </c>
      <c r="L36" s="34" t="str">
        <f>"22*.8("&amp;$H$4&amp;")"</f>
        <v>22*.8(21091)</v>
      </c>
    </row>
    <row r="37" spans="1:12" ht="15" x14ac:dyDescent="0.35">
      <c r="A37" s="34"/>
      <c r="B37" s="34" t="str">
        <f>B4&amp;" BACK PANEL 1"</f>
        <v>GF1 BACK PANEL 1</v>
      </c>
      <c r="C37" s="34">
        <f>IF(G6=0,C4-H6,C4-H6-10)</f>
        <v>1990</v>
      </c>
      <c r="D37" s="43">
        <f>IF(G4&lt;3,D4-20,IF(G4&lt;4,C27+C28+E6+E6,IF(E33&gt;0,C33+E6,C32+E6)))+IF(AND(L4=4,I4=4),9,IF(AND(L4=4,I4=1),9,0))</f>
        <v>991</v>
      </c>
      <c r="E37" s="43">
        <f>F4</f>
        <v>1</v>
      </c>
      <c r="F37" s="34"/>
      <c r="G37" s="34"/>
      <c r="H37" s="34" t="str">
        <f>F$6&amp;"mm"&amp;B$6</f>
        <v>8mmBSW</v>
      </c>
      <c r="I37" s="34"/>
      <c r="J37" s="34"/>
      <c r="K37" s="34"/>
      <c r="L37" s="34"/>
    </row>
    <row r="38" spans="1:12" ht="15" x14ac:dyDescent="0.35">
      <c r="A38" s="34"/>
      <c r="B38" s="34" t="str">
        <f>B4&amp;" BACK PANEL 2"</f>
        <v>GF1 BACK PANEL 2</v>
      </c>
      <c r="C38" s="34">
        <f>IF(G6=0,C4-H6,C4-H6-10)</f>
        <v>1990</v>
      </c>
      <c r="D38" s="43">
        <f>IF((D4-20)&lt;D37,0,IF(G4&lt;5,IF(E33&gt;0,C27+E6,IF(E34&gt;0,C34+18,D4-D37-20)),C34+E6)) +IF(AND(L4=4,I4=4),20,0)+IF(AND(L4=4,I4=2),9,0)+IF(AND(L4=4,I4=1),9,0)</f>
        <v>491</v>
      </c>
      <c r="E38" s="43">
        <f>IF((D38*2+E37*D37)&lt;=(D4-20),2,1)</f>
        <v>1</v>
      </c>
      <c r="F38" s="34"/>
      <c r="G38" s="34"/>
      <c r="H38" s="34" t="str">
        <f>F$6&amp;"mm"&amp;B$6</f>
        <v>8mmBSW</v>
      </c>
      <c r="I38" s="34"/>
      <c r="J38" s="34"/>
      <c r="K38" s="34"/>
      <c r="L38" s="34"/>
    </row>
    <row r="39" spans="1:12" ht="15" x14ac:dyDescent="0.35">
      <c r="A39" s="34"/>
      <c r="B39" s="34" t="str">
        <f>B4&amp;" BACK PANEL 3"</f>
        <v>GF1 BACK PANEL 3</v>
      </c>
      <c r="C39" s="34">
        <f>C38</f>
        <v>1990</v>
      </c>
      <c r="D39" s="43">
        <f>IF((D4-(E37*D37+D38*E38))&gt;18,D4-(E37*D37+D38*E38+20),0)</f>
        <v>0</v>
      </c>
      <c r="E39" s="43">
        <f>IF(D39&gt;50,1,0)</f>
        <v>0</v>
      </c>
      <c r="F39" s="34"/>
      <c r="G39" s="34"/>
      <c r="H39" s="34" t="str">
        <f>F$6&amp;"mm"&amp;B$6</f>
        <v>8mmBSW</v>
      </c>
      <c r="I39" s="34"/>
      <c r="J39" s="34"/>
      <c r="K39" s="34"/>
      <c r="L39" s="34"/>
    </row>
    <row r="40" spans="1:12" ht="15" x14ac:dyDescent="0.35">
      <c r="A40" s="34"/>
      <c r="B40" s="34" t="str">
        <f>B4&amp;" WB"&amp;C7&amp;" DRAWER PACK"</f>
        <v>GF1 WBDOOR 1 DRAWER PACK</v>
      </c>
      <c r="C40" s="34">
        <f>IF(C$9&gt;0,E$4-C12-G$6-F$6,0)</f>
        <v>483</v>
      </c>
      <c r="D40" s="34">
        <f>C$10</f>
        <v>200</v>
      </c>
      <c r="E40" s="34">
        <f>IF(C$9&gt;0,IF(ISBLANK(C11),2*F$4*C9,C$11*F$4*C9),0)</f>
        <v>1</v>
      </c>
      <c r="F40" s="34"/>
      <c r="G40" s="34"/>
      <c r="H40" s="34" t="str">
        <f t="shared" ref="H40:H44" si="6">B$6</f>
        <v>BSW</v>
      </c>
      <c r="I40" s="34" t="str">
        <f t="shared" ref="I40:L44" si="7">"22*.8("&amp;$B$6&amp;")"</f>
        <v>22*.8(BSW)</v>
      </c>
      <c r="J40" s="34" t="str">
        <f t="shared" si="7"/>
        <v>22*.8(BSW)</v>
      </c>
      <c r="K40" s="34" t="str">
        <f t="shared" si="7"/>
        <v>22*.8(BSW)</v>
      </c>
      <c r="L40" s="34" t="str">
        <f t="shared" si="7"/>
        <v>22*.8(BSW)</v>
      </c>
    </row>
    <row r="41" spans="1:12" ht="15" x14ac:dyDescent="0.35">
      <c r="A41" s="34"/>
      <c r="B41" s="34" t="str">
        <f>B4&amp;" WB"&amp;C7&amp;" DR SIDE"</f>
        <v>GF1 WBDOOR 1 DR SIDE</v>
      </c>
      <c r="C41" s="34">
        <f>C40-20</f>
        <v>463</v>
      </c>
      <c r="D41" s="34">
        <f>D40-30</f>
        <v>170</v>
      </c>
      <c r="E41" s="34">
        <f>C$9*2*F$4</f>
        <v>2</v>
      </c>
      <c r="F41" s="34"/>
      <c r="G41" s="34"/>
      <c r="H41" s="34" t="str">
        <f t="shared" si="6"/>
        <v>BSW</v>
      </c>
      <c r="I41" s="34" t="str">
        <f t="shared" si="7"/>
        <v>22*.8(BSW)</v>
      </c>
      <c r="J41" s="34" t="str">
        <f t="shared" si="7"/>
        <v>22*.8(BSW)</v>
      </c>
      <c r="K41" s="34" t="str">
        <f t="shared" si="7"/>
        <v>22*.8(BSW)</v>
      </c>
      <c r="L41" s="34" t="str">
        <f t="shared" si="7"/>
        <v>22*.8(BSW)</v>
      </c>
    </row>
    <row r="42" spans="1:12" ht="15" x14ac:dyDescent="0.35">
      <c r="A42" s="34"/>
      <c r="B42" s="34" t="str">
        <f>B4&amp;" WB"&amp;C7&amp;" DR BACK"</f>
        <v>GF1 WBDOOR 1 DR BACK</v>
      </c>
      <c r="C42" s="34">
        <f>C27-26-E41*E$6/(F4*C9)-E40*E$6/(F4*C9)</f>
        <v>393</v>
      </c>
      <c r="D42" s="34">
        <f>D41</f>
        <v>170</v>
      </c>
      <c r="E42" s="34">
        <f>C$9*F$4</f>
        <v>1</v>
      </c>
      <c r="F42" s="34"/>
      <c r="G42" s="34"/>
      <c r="H42" s="34" t="str">
        <f t="shared" si="6"/>
        <v>BSW</v>
      </c>
      <c r="I42" s="34" t="str">
        <f t="shared" si="7"/>
        <v>22*.8(BSW)</v>
      </c>
      <c r="J42" s="34" t="str">
        <f t="shared" si="7"/>
        <v>22*.8(BSW)</v>
      </c>
      <c r="K42" s="34" t="str">
        <f t="shared" si="7"/>
        <v>22*.8(BSW)</v>
      </c>
      <c r="L42" s="34" t="str">
        <f t="shared" si="7"/>
        <v>22*.8(BSW)</v>
      </c>
    </row>
    <row r="43" spans="1:12" ht="15" x14ac:dyDescent="0.35">
      <c r="A43" s="34"/>
      <c r="B43" s="34" t="str">
        <f>B4&amp;" WB"&amp;C7&amp;" DR IN FRONT"</f>
        <v>GF1 WBDOOR 1 DR IN FRONT</v>
      </c>
      <c r="C43" s="34">
        <f>C42</f>
        <v>393</v>
      </c>
      <c r="D43" s="34">
        <v>50</v>
      </c>
      <c r="E43" s="34">
        <f>E42</f>
        <v>1</v>
      </c>
      <c r="F43" s="34"/>
      <c r="G43" s="34"/>
      <c r="H43" s="34" t="str">
        <f t="shared" si="6"/>
        <v>BSW</v>
      </c>
      <c r="I43" s="34" t="str">
        <f t="shared" si="7"/>
        <v>22*.8(BSW)</v>
      </c>
      <c r="J43" s="34" t="str">
        <f t="shared" si="7"/>
        <v>22*.8(BSW)</v>
      </c>
      <c r="K43" s="34" t="str">
        <f t="shared" si="7"/>
        <v>22*.8(BSW)</v>
      </c>
      <c r="L43" s="34" t="str">
        <f t="shared" si="7"/>
        <v>22*.8(BSW)</v>
      </c>
    </row>
    <row r="44" spans="1:12" ht="15" x14ac:dyDescent="0.35">
      <c r="A44" s="34"/>
      <c r="B44" s="34" t="str">
        <f>B4&amp;" WB"&amp;C7&amp;" DR FRONT"</f>
        <v>GF1 WBDOOR 1 DR FRONT</v>
      </c>
      <c r="C44" s="34">
        <f>C43+2*E$6+26-4</f>
        <v>451</v>
      </c>
      <c r="D44" s="34">
        <f>D40-2</f>
        <v>198</v>
      </c>
      <c r="E44" s="34">
        <f>C9*F4</f>
        <v>1</v>
      </c>
      <c r="F44" s="34"/>
      <c r="G44" s="34"/>
      <c r="H44" s="34" t="str">
        <f t="shared" si="6"/>
        <v>BSW</v>
      </c>
      <c r="I44" s="34" t="str">
        <f t="shared" si="7"/>
        <v>22*.8(BSW)</v>
      </c>
      <c r="J44" s="34" t="str">
        <f t="shared" si="7"/>
        <v>22*.8(BSW)</v>
      </c>
      <c r="K44" s="34" t="str">
        <f t="shared" si="7"/>
        <v>22*.8(BSW)</v>
      </c>
      <c r="L44" s="34" t="str">
        <f t="shared" si="7"/>
        <v>22*.8(BSW)</v>
      </c>
    </row>
    <row r="45" spans="1:12" ht="15" x14ac:dyDescent="0.35">
      <c r="A45" s="34"/>
      <c r="B45" s="34" t="str">
        <f>B4&amp;" WB"&amp;C7&amp;" BACK PANEL"</f>
        <v>GF1 WBDOOR 1 BACK PANEL</v>
      </c>
      <c r="C45" s="34">
        <f>C41-10</f>
        <v>453</v>
      </c>
      <c r="D45" s="34">
        <f>C42+E$6</f>
        <v>411</v>
      </c>
      <c r="E45" s="34">
        <f>E44</f>
        <v>1</v>
      </c>
      <c r="F45" s="34"/>
      <c r="G45" s="34"/>
      <c r="H45" s="34" t="str">
        <f>F$6&amp;"mm"&amp;B$6</f>
        <v>8mmBSW</v>
      </c>
      <c r="I45" s="34"/>
      <c r="J45" s="34"/>
      <c r="K45" s="34"/>
      <c r="L45" s="34"/>
    </row>
    <row r="46" spans="1:12" ht="15" x14ac:dyDescent="0.35">
      <c r="A46" s="34"/>
      <c r="B46" s="34" t="str">
        <f>B$4&amp;" WB"&amp;D7&amp;" DRAWER PACK"</f>
        <v>GF1 WBDOOR 2 DRAWER PACK</v>
      </c>
      <c r="C46" s="34">
        <f>IF(D$9&gt;0,E$4-C12-G$6-F$6,0)</f>
        <v>0</v>
      </c>
      <c r="D46" s="34">
        <f>D$10</f>
        <v>0</v>
      </c>
      <c r="E46" s="34">
        <f>IF(D$9&gt;0,IF(ISBLANK(D11),2*F$4*D9,D$11*F$4*D9),0)</f>
        <v>0</v>
      </c>
      <c r="F46" s="34"/>
      <c r="G46" s="34"/>
      <c r="H46" s="34" t="str">
        <f t="shared" ref="H46:H50" si="8">B$6</f>
        <v>BSW</v>
      </c>
      <c r="I46" s="34" t="str">
        <f t="shared" ref="I46:L50" si="9">"22*.8("&amp;$B$6&amp;")"</f>
        <v>22*.8(BSW)</v>
      </c>
      <c r="J46" s="34" t="str">
        <f t="shared" si="9"/>
        <v>22*.8(BSW)</v>
      </c>
      <c r="K46" s="34" t="str">
        <f t="shared" si="9"/>
        <v>22*.8(BSW)</v>
      </c>
      <c r="L46" s="34" t="str">
        <f t="shared" si="9"/>
        <v>22*.8(BSW)</v>
      </c>
    </row>
    <row r="47" spans="1:12" ht="15" x14ac:dyDescent="0.35">
      <c r="A47" s="34"/>
      <c r="B47" s="34" t="str">
        <f>B$4&amp;" WB"&amp;D7&amp;" DR SIDE"</f>
        <v>GF1 WBDOOR 2 DR SIDE</v>
      </c>
      <c r="C47" s="34">
        <f>C46-20</f>
        <v>-20</v>
      </c>
      <c r="D47" s="34">
        <f>D46-30</f>
        <v>-30</v>
      </c>
      <c r="E47" s="34">
        <f>D$9*2*F$4</f>
        <v>0</v>
      </c>
      <c r="F47" s="34"/>
      <c r="G47" s="34"/>
      <c r="H47" s="34" t="str">
        <f t="shared" si="8"/>
        <v>BSW</v>
      </c>
      <c r="I47" s="34" t="str">
        <f t="shared" si="9"/>
        <v>22*.8(BSW)</v>
      </c>
      <c r="J47" s="34" t="str">
        <f t="shared" si="9"/>
        <v>22*.8(BSW)</v>
      </c>
      <c r="K47" s="34" t="str">
        <f t="shared" si="9"/>
        <v>22*.8(BSW)</v>
      </c>
      <c r="L47" s="34" t="str">
        <f t="shared" si="9"/>
        <v>22*.8(BSW)</v>
      </c>
    </row>
    <row r="48" spans="1:12" ht="15" x14ac:dyDescent="0.35">
      <c r="A48" s="34"/>
      <c r="B48" s="34" t="str">
        <f>B$4&amp;" WB"&amp;D7&amp;" DR BACK"</f>
        <v>GF1 WBDOOR 2 DR BACK</v>
      </c>
      <c r="C48" s="34" t="e">
        <f>C28-26-E47*E$6/(F4*D9)-E46*E$6/(F4*D9)</f>
        <v>#DIV/0!</v>
      </c>
      <c r="D48" s="34">
        <f>D47</f>
        <v>-30</v>
      </c>
      <c r="E48" s="34">
        <f>D$9*F$4</f>
        <v>0</v>
      </c>
      <c r="F48" s="34"/>
      <c r="G48" s="34"/>
      <c r="H48" s="34" t="str">
        <f t="shared" si="8"/>
        <v>BSW</v>
      </c>
      <c r="I48" s="34" t="str">
        <f t="shared" si="9"/>
        <v>22*.8(BSW)</v>
      </c>
      <c r="J48" s="34" t="str">
        <f t="shared" si="9"/>
        <v>22*.8(BSW)</v>
      </c>
      <c r="K48" s="34" t="str">
        <f t="shared" si="9"/>
        <v>22*.8(BSW)</v>
      </c>
      <c r="L48" s="34" t="str">
        <f t="shared" si="9"/>
        <v>22*.8(BSW)</v>
      </c>
    </row>
    <row r="49" spans="1:12" ht="15" x14ac:dyDescent="0.35">
      <c r="A49" s="34"/>
      <c r="B49" s="34" t="str">
        <f>B$4&amp;" WB"&amp;D7&amp;" DR IN FRONT"</f>
        <v>GF1 WBDOOR 2 DR IN FRONT</v>
      </c>
      <c r="C49" s="34" t="e">
        <f>C48</f>
        <v>#DIV/0!</v>
      </c>
      <c r="D49" s="34">
        <v>50</v>
      </c>
      <c r="E49" s="34">
        <f>E48</f>
        <v>0</v>
      </c>
      <c r="F49" s="34"/>
      <c r="G49" s="34"/>
      <c r="H49" s="34" t="str">
        <f t="shared" si="8"/>
        <v>BSW</v>
      </c>
      <c r="I49" s="34" t="str">
        <f t="shared" si="9"/>
        <v>22*.8(BSW)</v>
      </c>
      <c r="J49" s="34" t="str">
        <f t="shared" si="9"/>
        <v>22*.8(BSW)</v>
      </c>
      <c r="K49" s="34" t="str">
        <f t="shared" si="9"/>
        <v>22*.8(BSW)</v>
      </c>
      <c r="L49" s="34" t="str">
        <f t="shared" si="9"/>
        <v>22*.8(BSW)</v>
      </c>
    </row>
    <row r="50" spans="1:12" ht="15" x14ac:dyDescent="0.35">
      <c r="A50" s="34"/>
      <c r="B50" s="34" t="str">
        <f>B$4&amp;" WB"&amp;D7&amp;" DR FRONT"</f>
        <v>GF1 WBDOOR 2 DR FRONT</v>
      </c>
      <c r="C50" s="34" t="e">
        <f>C49+2*E$6+26-4</f>
        <v>#DIV/0!</v>
      </c>
      <c r="D50" s="34">
        <f>D46-2</f>
        <v>-2</v>
      </c>
      <c r="E50" s="34">
        <f>E49</f>
        <v>0</v>
      </c>
      <c r="F50" s="34"/>
      <c r="G50" s="34"/>
      <c r="H50" s="34" t="str">
        <f t="shared" si="8"/>
        <v>BSW</v>
      </c>
      <c r="I50" s="34" t="str">
        <f t="shared" si="9"/>
        <v>22*.8(BSW)</v>
      </c>
      <c r="J50" s="34" t="str">
        <f t="shared" si="9"/>
        <v>22*.8(BSW)</v>
      </c>
      <c r="K50" s="34" t="str">
        <f t="shared" si="9"/>
        <v>22*.8(BSW)</v>
      </c>
      <c r="L50" s="34" t="str">
        <f t="shared" si="9"/>
        <v>22*.8(BSW)</v>
      </c>
    </row>
    <row r="51" spans="1:12" ht="15" x14ac:dyDescent="0.35">
      <c r="A51" s="34"/>
      <c r="B51" s="34" t="str">
        <f>B$4&amp;" WB"&amp;D7&amp;" BACK PANEL"</f>
        <v>GF1 WBDOOR 2 BACK PANEL</v>
      </c>
      <c r="C51" s="34">
        <f>C47-10</f>
        <v>-30</v>
      </c>
      <c r="D51" s="34" t="e">
        <f>C48+E$6</f>
        <v>#DIV/0!</v>
      </c>
      <c r="E51" s="34">
        <f>E50</f>
        <v>0</v>
      </c>
      <c r="F51" s="34"/>
      <c r="G51" s="34"/>
      <c r="H51" s="34" t="str">
        <f>F$6&amp;"mm"&amp;B$6</f>
        <v>8mmBSW</v>
      </c>
      <c r="I51" s="34"/>
      <c r="J51" s="34"/>
      <c r="K51" s="34"/>
      <c r="L51" s="34"/>
    </row>
    <row r="52" spans="1:12" ht="15" x14ac:dyDescent="0.35">
      <c r="A52" s="34"/>
      <c r="B52" s="34" t="str">
        <f>B$4&amp;" WB"&amp;E7&amp;" DRAWER PACK"</f>
        <v>GF1 WBDOOR 3 DRAWER PACK</v>
      </c>
      <c r="C52" s="34">
        <f>IF(E$9&gt;0,E$4-C12-G$6-F$6,0)</f>
        <v>0</v>
      </c>
      <c r="D52" s="34">
        <f>E$10</f>
        <v>0</v>
      </c>
      <c r="E52" s="34">
        <f>IF(E$9&gt;0,IF(ISBLANK(E11),2*F$4*E9,E$11*F$4*E9),0)</f>
        <v>0</v>
      </c>
      <c r="F52" s="34"/>
      <c r="G52" s="34"/>
      <c r="H52" s="34" t="str">
        <f t="shared" ref="H52:H56" si="10">B$6</f>
        <v>BSW</v>
      </c>
      <c r="I52" s="34" t="str">
        <f t="shared" ref="I52:L56" si="11">"22*.8("&amp;$B$6&amp;")"</f>
        <v>22*.8(BSW)</v>
      </c>
      <c r="J52" s="34" t="str">
        <f t="shared" si="11"/>
        <v>22*.8(BSW)</v>
      </c>
      <c r="K52" s="34" t="str">
        <f t="shared" si="11"/>
        <v>22*.8(BSW)</v>
      </c>
      <c r="L52" s="34" t="str">
        <f t="shared" si="11"/>
        <v>22*.8(BSW)</v>
      </c>
    </row>
    <row r="53" spans="1:12" ht="15" x14ac:dyDescent="0.35">
      <c r="A53" s="34"/>
      <c r="B53" s="34" t="str">
        <f>B$4&amp;" WB"&amp;E7&amp;" DR SIDE"</f>
        <v>GF1 WBDOOR 3 DR SIDE</v>
      </c>
      <c r="C53" s="34">
        <f>C52-20</f>
        <v>-20</v>
      </c>
      <c r="D53" s="34">
        <f>D52-30</f>
        <v>-30</v>
      </c>
      <c r="E53" s="34">
        <f>E9*F4*2</f>
        <v>0</v>
      </c>
      <c r="F53" s="34"/>
      <c r="G53" s="34"/>
      <c r="H53" s="34" t="str">
        <f t="shared" si="10"/>
        <v>BSW</v>
      </c>
      <c r="I53" s="34" t="str">
        <f t="shared" si="11"/>
        <v>22*.8(BSW)</v>
      </c>
      <c r="J53" s="34" t="str">
        <f t="shared" si="11"/>
        <v>22*.8(BSW)</v>
      </c>
      <c r="K53" s="34" t="str">
        <f t="shared" si="11"/>
        <v>22*.8(BSW)</v>
      </c>
      <c r="L53" s="34" t="str">
        <f t="shared" si="11"/>
        <v>22*.8(BSW)</v>
      </c>
    </row>
    <row r="54" spans="1:12" ht="15" x14ac:dyDescent="0.35">
      <c r="A54" s="34"/>
      <c r="B54" s="34" t="str">
        <f>B$4&amp;" WB"&amp;E7&amp;" DR BACK"</f>
        <v>GF1 WBDOOR 3 DR BACK</v>
      </c>
      <c r="C54" s="34" t="e">
        <f>C29-26-E53*E$6/(F4*E9)-E52*E$6/(F4*E9)</f>
        <v>#DIV/0!</v>
      </c>
      <c r="D54" s="34">
        <f>D53</f>
        <v>-30</v>
      </c>
      <c r="E54" s="34">
        <f>E$9*F4</f>
        <v>0</v>
      </c>
      <c r="F54" s="34"/>
      <c r="G54" s="34"/>
      <c r="H54" s="34" t="str">
        <f t="shared" si="10"/>
        <v>BSW</v>
      </c>
      <c r="I54" s="34" t="str">
        <f t="shared" si="11"/>
        <v>22*.8(BSW)</v>
      </c>
      <c r="J54" s="34" t="str">
        <f t="shared" si="11"/>
        <v>22*.8(BSW)</v>
      </c>
      <c r="K54" s="34" t="str">
        <f t="shared" si="11"/>
        <v>22*.8(BSW)</v>
      </c>
      <c r="L54" s="34" t="str">
        <f t="shared" si="11"/>
        <v>22*.8(BSW)</v>
      </c>
    </row>
    <row r="55" spans="1:12" ht="15" x14ac:dyDescent="0.35">
      <c r="A55" s="34"/>
      <c r="B55" s="34" t="str">
        <f>B$4&amp;" WB"&amp;E7&amp;" DR IN FRONT"</f>
        <v>GF1 WBDOOR 3 DR IN FRONT</v>
      </c>
      <c r="C55" s="34" t="e">
        <f>C54</f>
        <v>#DIV/0!</v>
      </c>
      <c r="D55" s="34">
        <v>50</v>
      </c>
      <c r="E55" s="34">
        <f>E54</f>
        <v>0</v>
      </c>
      <c r="F55" s="34"/>
      <c r="G55" s="34"/>
      <c r="H55" s="34" t="str">
        <f t="shared" si="10"/>
        <v>BSW</v>
      </c>
      <c r="I55" s="34" t="str">
        <f t="shared" si="11"/>
        <v>22*.8(BSW)</v>
      </c>
      <c r="J55" s="34" t="str">
        <f t="shared" si="11"/>
        <v>22*.8(BSW)</v>
      </c>
      <c r="K55" s="34" t="str">
        <f t="shared" si="11"/>
        <v>22*.8(BSW)</v>
      </c>
      <c r="L55" s="34" t="str">
        <f t="shared" si="11"/>
        <v>22*.8(BSW)</v>
      </c>
    </row>
    <row r="56" spans="1:12" ht="15" x14ac:dyDescent="0.35">
      <c r="A56" s="34"/>
      <c r="B56" s="34" t="str">
        <f>B$4&amp;" WB"&amp;E7&amp;" DR FRONT"</f>
        <v>GF1 WBDOOR 3 DR FRONT</v>
      </c>
      <c r="C56" s="34" t="e">
        <f>C55+2*E$6+26-4</f>
        <v>#DIV/0!</v>
      </c>
      <c r="D56" s="34">
        <f>D52-2</f>
        <v>-2</v>
      </c>
      <c r="E56" s="34">
        <f>E55</f>
        <v>0</v>
      </c>
      <c r="F56" s="34"/>
      <c r="G56" s="34"/>
      <c r="H56" s="34" t="str">
        <f t="shared" si="10"/>
        <v>BSW</v>
      </c>
      <c r="I56" s="34" t="str">
        <f t="shared" si="11"/>
        <v>22*.8(BSW)</v>
      </c>
      <c r="J56" s="34" t="str">
        <f t="shared" si="11"/>
        <v>22*.8(BSW)</v>
      </c>
      <c r="K56" s="34" t="str">
        <f t="shared" si="11"/>
        <v>22*.8(BSW)</v>
      </c>
      <c r="L56" s="34" t="str">
        <f t="shared" si="11"/>
        <v>22*.8(BSW)</v>
      </c>
    </row>
    <row r="57" spans="1:12" ht="15" x14ac:dyDescent="0.35">
      <c r="A57" s="34"/>
      <c r="B57" s="34" t="str">
        <f>B$4&amp;" WB"&amp;E7&amp;" BACK PANEL"</f>
        <v>GF1 WBDOOR 3 BACK PANEL</v>
      </c>
      <c r="C57" s="34">
        <f>C53-10</f>
        <v>-30</v>
      </c>
      <c r="D57" s="34" t="e">
        <f>C54+E$6</f>
        <v>#DIV/0!</v>
      </c>
      <c r="E57" s="34">
        <f>E56</f>
        <v>0</v>
      </c>
      <c r="F57" s="34"/>
      <c r="G57" s="34"/>
      <c r="H57" s="34" t="str">
        <f>F$6&amp;"mm"&amp;B$6</f>
        <v>8mmBSW</v>
      </c>
      <c r="I57" s="34"/>
      <c r="J57" s="34"/>
      <c r="K57" s="34"/>
      <c r="L57" s="34"/>
    </row>
    <row r="58" spans="1:12" ht="15" x14ac:dyDescent="0.35">
      <c r="A58" s="34"/>
      <c r="B58" s="34" t="str">
        <f>B$4&amp;" WB"&amp;F7&amp;" DRAWER PACK"</f>
        <v>GF1 WB0 DRAWER PACK</v>
      </c>
      <c r="C58" s="34">
        <f>IF(F$9&gt;0,E$4-C12-G$6-F$6,0)</f>
        <v>0</v>
      </c>
      <c r="D58" s="34">
        <f>F$10</f>
        <v>0</v>
      </c>
      <c r="E58" s="34">
        <f>IF(F$9&gt;0,IF(ISBLANK(F11),2*F$4*F9,F$11*F$4*F9),0)</f>
        <v>0</v>
      </c>
      <c r="F58" s="34"/>
      <c r="G58" s="34"/>
      <c r="H58" s="34" t="str">
        <f t="shared" ref="H58:H62" si="12">B$6</f>
        <v>BSW</v>
      </c>
      <c r="I58" s="34" t="str">
        <f t="shared" ref="I58:L62" si="13">"22*.8("&amp;$B$6&amp;")"</f>
        <v>22*.8(BSW)</v>
      </c>
      <c r="J58" s="34" t="str">
        <f t="shared" si="13"/>
        <v>22*.8(BSW)</v>
      </c>
      <c r="K58" s="34" t="str">
        <f t="shared" si="13"/>
        <v>22*.8(BSW)</v>
      </c>
      <c r="L58" s="34" t="str">
        <f t="shared" si="13"/>
        <v>22*.8(BSW)</v>
      </c>
    </row>
    <row r="59" spans="1:12" ht="15" x14ac:dyDescent="0.35">
      <c r="A59" s="34"/>
      <c r="B59" s="34" t="str">
        <f>B$4&amp;" WB"&amp;F7&amp;" DR SIDE"</f>
        <v>GF1 WB0 DR SIDE</v>
      </c>
      <c r="C59" s="34">
        <f>C58-20</f>
        <v>-20</v>
      </c>
      <c r="D59" s="34">
        <f>D58-30</f>
        <v>-30</v>
      </c>
      <c r="E59" s="34">
        <f>F9*F4*2</f>
        <v>0</v>
      </c>
      <c r="F59" s="34"/>
      <c r="G59" s="34"/>
      <c r="H59" s="34" t="str">
        <f t="shared" si="12"/>
        <v>BSW</v>
      </c>
      <c r="I59" s="34" t="str">
        <f t="shared" si="13"/>
        <v>22*.8(BSW)</v>
      </c>
      <c r="J59" s="34" t="str">
        <f t="shared" si="13"/>
        <v>22*.8(BSW)</v>
      </c>
      <c r="K59" s="34" t="str">
        <f t="shared" si="13"/>
        <v>22*.8(BSW)</v>
      </c>
      <c r="L59" s="34" t="str">
        <f t="shared" si="13"/>
        <v>22*.8(BSW)</v>
      </c>
    </row>
    <row r="60" spans="1:12" ht="15" x14ac:dyDescent="0.35">
      <c r="A60" s="34"/>
      <c r="B60" s="34" t="str">
        <f>B$4&amp;" WB"&amp;F7&amp;" DR BACK"</f>
        <v>GF1 WB0 DR BACK</v>
      </c>
      <c r="C60" s="34" t="e">
        <f>C30-26-E59*E$6/(F4*F9)-E58*E$6/(F4*F9)</f>
        <v>#DIV/0!</v>
      </c>
      <c r="D60" s="34">
        <f>D59</f>
        <v>-30</v>
      </c>
      <c r="E60" s="34">
        <f>E59/2</f>
        <v>0</v>
      </c>
      <c r="F60" s="34">
        <f>292-26</f>
        <v>266</v>
      </c>
      <c r="G60" s="34"/>
      <c r="H60" s="34" t="str">
        <f t="shared" si="12"/>
        <v>BSW</v>
      </c>
      <c r="I60" s="34" t="str">
        <f t="shared" si="13"/>
        <v>22*.8(BSW)</v>
      </c>
      <c r="J60" s="34" t="str">
        <f t="shared" si="13"/>
        <v>22*.8(BSW)</v>
      </c>
      <c r="K60" s="34" t="str">
        <f t="shared" si="13"/>
        <v>22*.8(BSW)</v>
      </c>
      <c r="L60" s="34" t="str">
        <f t="shared" si="13"/>
        <v>22*.8(BSW)</v>
      </c>
    </row>
    <row r="61" spans="1:12" ht="15" x14ac:dyDescent="0.35">
      <c r="A61" s="34"/>
      <c r="B61" s="34" t="str">
        <f>B$4&amp;" WB"&amp;F7&amp;" DR IN FRONT"</f>
        <v>GF1 WB0 DR IN FRONT</v>
      </c>
      <c r="C61" s="34" t="e">
        <f>C60</f>
        <v>#DIV/0!</v>
      </c>
      <c r="D61" s="34">
        <v>50</v>
      </c>
      <c r="E61" s="34">
        <f>E60</f>
        <v>0</v>
      </c>
      <c r="F61" s="34" t="e">
        <f>E59*E$6/(F4*F9)</f>
        <v>#DIV/0!</v>
      </c>
      <c r="G61" s="34"/>
      <c r="H61" s="34" t="str">
        <f t="shared" si="12"/>
        <v>BSW</v>
      </c>
      <c r="I61" s="34" t="str">
        <f t="shared" si="13"/>
        <v>22*.8(BSW)</v>
      </c>
      <c r="J61" s="34" t="str">
        <f t="shared" si="13"/>
        <v>22*.8(BSW)</v>
      </c>
      <c r="K61" s="34" t="str">
        <f t="shared" si="13"/>
        <v>22*.8(BSW)</v>
      </c>
      <c r="L61" s="34" t="str">
        <f t="shared" si="13"/>
        <v>22*.8(BSW)</v>
      </c>
    </row>
    <row r="62" spans="1:12" ht="15" x14ac:dyDescent="0.35">
      <c r="A62" s="34"/>
      <c r="B62" s="34" t="str">
        <f>B$4&amp;" WB"&amp;F7&amp;" DR FRONT"</f>
        <v>GF1 WB0 DR FRONT</v>
      </c>
      <c r="C62" s="34" t="e">
        <f>C61+2*E$6+26-4</f>
        <v>#DIV/0!</v>
      </c>
      <c r="D62" s="34">
        <f>D58-2</f>
        <v>-2</v>
      </c>
      <c r="E62" s="34">
        <f>E61</f>
        <v>0</v>
      </c>
      <c r="F62" s="34"/>
      <c r="G62" s="34"/>
      <c r="H62" s="34" t="str">
        <f t="shared" si="12"/>
        <v>BSW</v>
      </c>
      <c r="I62" s="34" t="str">
        <f t="shared" si="13"/>
        <v>22*.8(BSW)</v>
      </c>
      <c r="J62" s="34" t="str">
        <f t="shared" si="13"/>
        <v>22*.8(BSW)</v>
      </c>
      <c r="K62" s="34" t="str">
        <f t="shared" si="13"/>
        <v>22*.8(BSW)</v>
      </c>
      <c r="L62" s="34" t="str">
        <f t="shared" si="13"/>
        <v>22*.8(BSW)</v>
      </c>
    </row>
    <row r="63" spans="1:12" ht="15" x14ac:dyDescent="0.35">
      <c r="A63" s="34"/>
      <c r="B63" s="34" t="str">
        <f>B$4&amp;" WB"&amp;F7&amp;" BACK PANEL"</f>
        <v>GF1 WB0 BACK PANEL</v>
      </c>
      <c r="C63" s="34">
        <f>C59-10</f>
        <v>-30</v>
      </c>
      <c r="D63" s="34" t="e">
        <f>C60+E$6</f>
        <v>#DIV/0!</v>
      </c>
      <c r="E63" s="34">
        <f>E62</f>
        <v>0</v>
      </c>
      <c r="F63" s="34"/>
      <c r="G63" s="34"/>
      <c r="H63" s="34" t="str">
        <f>F$6&amp;"mm"&amp;B$6</f>
        <v>8mmBSW</v>
      </c>
      <c r="I63" s="34"/>
      <c r="J63" s="34"/>
      <c r="K63" s="34"/>
      <c r="L63" s="34"/>
    </row>
    <row r="64" spans="1:12" ht="15" x14ac:dyDescent="0.35">
      <c r="A64" s="34"/>
      <c r="B64" s="34" t="str">
        <f>B$4&amp;" WB"&amp;G7&amp;" DRAWER PACK"</f>
        <v>GF1 WB0 DRAWER PACK</v>
      </c>
      <c r="C64" s="34">
        <f>IF(G$9&gt;0,E$4-C12-G$6-F$6,0)</f>
        <v>0</v>
      </c>
      <c r="D64" s="34">
        <f>G$10</f>
        <v>0</v>
      </c>
      <c r="E64" s="34">
        <f>IF(G$9&gt;0,IF(ISBLANK(G11),2*F$4*G9,G$11*F$4*G9),0)</f>
        <v>0</v>
      </c>
      <c r="F64" s="34"/>
      <c r="G64" s="34"/>
      <c r="H64" s="34" t="str">
        <f t="shared" ref="H64:H68" si="14">B$6</f>
        <v>BSW</v>
      </c>
      <c r="I64" s="34" t="str">
        <f t="shared" ref="I64:L68" si="15">"22*.8("&amp;$B$6&amp;")"</f>
        <v>22*.8(BSW)</v>
      </c>
      <c r="J64" s="34" t="str">
        <f t="shared" si="15"/>
        <v>22*.8(BSW)</v>
      </c>
      <c r="K64" s="34" t="str">
        <f t="shared" si="15"/>
        <v>22*.8(BSW)</v>
      </c>
      <c r="L64" s="34" t="str">
        <f t="shared" si="15"/>
        <v>22*.8(BSW)</v>
      </c>
    </row>
    <row r="65" spans="1:15" ht="15" x14ac:dyDescent="0.35">
      <c r="A65" s="34"/>
      <c r="B65" s="34" t="str">
        <f>B$4&amp;" WB"&amp;G7&amp;" DR SIDE"</f>
        <v>GF1 WB0 DR SIDE</v>
      </c>
      <c r="C65" s="34">
        <f>C64-20</f>
        <v>-20</v>
      </c>
      <c r="D65" s="34">
        <f>D64-30</f>
        <v>-30</v>
      </c>
      <c r="E65" s="34">
        <f>E64</f>
        <v>0</v>
      </c>
      <c r="F65" s="34"/>
      <c r="G65" s="34"/>
      <c r="H65" s="34" t="str">
        <f t="shared" si="14"/>
        <v>BSW</v>
      </c>
      <c r="I65" s="34" t="str">
        <f t="shared" si="15"/>
        <v>22*.8(BSW)</v>
      </c>
      <c r="J65" s="34" t="str">
        <f t="shared" si="15"/>
        <v>22*.8(BSW)</v>
      </c>
      <c r="K65" s="34" t="str">
        <f t="shared" si="15"/>
        <v>22*.8(BSW)</v>
      </c>
      <c r="L65" s="34" t="str">
        <f t="shared" si="15"/>
        <v>22*.8(BSW)</v>
      </c>
    </row>
    <row r="66" spans="1:15" ht="15" x14ac:dyDescent="0.35">
      <c r="A66" s="34"/>
      <c r="B66" s="34" t="str">
        <f>B$4&amp;" WB"&amp;G7&amp;" DR BACK"</f>
        <v>GF1 WB0 DR BACK</v>
      </c>
      <c r="C66" s="34" t="e">
        <f>C31-26-E65*E$6/(F4*G9)-E64*E$6/(F4*G9)</f>
        <v>#DIV/0!</v>
      </c>
      <c r="D66" s="34">
        <f>D65</f>
        <v>-30</v>
      </c>
      <c r="E66" s="34">
        <f>E65/2</f>
        <v>0</v>
      </c>
      <c r="F66" s="34"/>
      <c r="G66" s="34"/>
      <c r="H66" s="34" t="str">
        <f t="shared" si="14"/>
        <v>BSW</v>
      </c>
      <c r="I66" s="34" t="str">
        <f t="shared" si="15"/>
        <v>22*.8(BSW)</v>
      </c>
      <c r="J66" s="34" t="str">
        <f t="shared" si="15"/>
        <v>22*.8(BSW)</v>
      </c>
      <c r="K66" s="34" t="str">
        <f t="shared" si="15"/>
        <v>22*.8(BSW)</v>
      </c>
      <c r="L66" s="34" t="str">
        <f t="shared" si="15"/>
        <v>22*.8(BSW)</v>
      </c>
    </row>
    <row r="67" spans="1:15" ht="15" x14ac:dyDescent="0.35">
      <c r="A67" s="34"/>
      <c r="B67" s="34" t="str">
        <f>B$4&amp;" WB"&amp;G7&amp;" DR IN FRONT"</f>
        <v>GF1 WB0 DR IN FRONT</v>
      </c>
      <c r="C67" s="34" t="e">
        <f>C66</f>
        <v>#DIV/0!</v>
      </c>
      <c r="D67" s="34">
        <v>80</v>
      </c>
      <c r="E67" s="34">
        <f>E66</f>
        <v>0</v>
      </c>
      <c r="F67" s="34"/>
      <c r="G67" s="34"/>
      <c r="H67" s="34" t="str">
        <f t="shared" si="14"/>
        <v>BSW</v>
      </c>
      <c r="I67" s="34" t="str">
        <f t="shared" si="15"/>
        <v>22*.8(BSW)</v>
      </c>
      <c r="J67" s="34" t="str">
        <f t="shared" si="15"/>
        <v>22*.8(BSW)</v>
      </c>
      <c r="K67" s="34" t="str">
        <f t="shared" si="15"/>
        <v>22*.8(BSW)</v>
      </c>
      <c r="L67" s="34" t="str">
        <f t="shared" si="15"/>
        <v>22*.8(BSW)</v>
      </c>
    </row>
    <row r="68" spans="1:15" ht="15" x14ac:dyDescent="0.35">
      <c r="A68" s="34"/>
      <c r="B68" s="34" t="str">
        <f>B$4&amp;" WB"&amp;G7&amp;" DR FRONT"</f>
        <v>GF1 WB0 DR FRONT</v>
      </c>
      <c r="C68" s="34" t="e">
        <f>C67+2*E$6+26-4</f>
        <v>#DIV/0!</v>
      </c>
      <c r="D68" s="34">
        <f>D64-2</f>
        <v>-2</v>
      </c>
      <c r="E68" s="34">
        <f>E67</f>
        <v>0</v>
      </c>
      <c r="F68" s="34"/>
      <c r="G68" s="34"/>
      <c r="H68" s="34" t="str">
        <f t="shared" si="14"/>
        <v>BSW</v>
      </c>
      <c r="I68" s="34" t="str">
        <f t="shared" si="15"/>
        <v>22*.8(BSW)</v>
      </c>
      <c r="J68" s="34" t="str">
        <f t="shared" si="15"/>
        <v>22*.8(BSW)</v>
      </c>
      <c r="K68" s="34" t="str">
        <f t="shared" si="15"/>
        <v>22*.8(BSW)</v>
      </c>
      <c r="L68" s="34" t="str">
        <f t="shared" si="15"/>
        <v>22*.8(BSW)</v>
      </c>
    </row>
    <row r="69" spans="1:15" ht="15" x14ac:dyDescent="0.35">
      <c r="A69" s="34"/>
      <c r="B69" s="34" t="str">
        <f>B$4&amp;" WB"&amp;G7&amp;" BACK PANEL"</f>
        <v>GF1 WB0 BACK PANEL</v>
      </c>
      <c r="C69" s="34">
        <f>C65-10</f>
        <v>-30</v>
      </c>
      <c r="D69" s="34" t="e">
        <f>C66+E$6</f>
        <v>#DIV/0!</v>
      </c>
      <c r="E69" s="34">
        <f>E68</f>
        <v>0</v>
      </c>
      <c r="F69" s="34"/>
      <c r="G69" s="34"/>
      <c r="H69" s="34" t="str">
        <f>F$6&amp;"mm"&amp;B$6</f>
        <v>8mmBSW</v>
      </c>
      <c r="I69" s="34"/>
      <c r="J69" s="34"/>
      <c r="K69" s="34"/>
      <c r="L69" s="34"/>
    </row>
    <row r="70" spans="1:15" ht="15" x14ac:dyDescent="0.35">
      <c r="A70" s="34"/>
      <c r="B70" s="34" t="str">
        <f>B$4&amp;" WB"&amp;C13&amp;" DRAWER PACK"</f>
        <v>GF1 WBDoor 1&amp;2 DRAWER PACK</v>
      </c>
      <c r="C70" s="34">
        <f>IF(C$15&gt;0,E$4-C12-G$6-F$6,0)</f>
        <v>0</v>
      </c>
      <c r="D70" s="34">
        <f>C$16</f>
        <v>0</v>
      </c>
      <c r="E70" s="34">
        <f>IF(C15&gt;0,IF(ISBLANK(C17),C15*F4*4,C17*F4*C15),0)</f>
        <v>0</v>
      </c>
      <c r="F70" s="34"/>
      <c r="G70" s="34"/>
      <c r="H70" s="34" t="str">
        <f t="shared" ref="H70:H74" si="16">B$6</f>
        <v>BSW</v>
      </c>
      <c r="I70" s="34" t="str">
        <f t="shared" ref="I70:L74" si="17">"22*.8("&amp;$B$6&amp;")"</f>
        <v>22*.8(BSW)</v>
      </c>
      <c r="J70" s="34" t="str">
        <f t="shared" si="17"/>
        <v>22*.8(BSW)</v>
      </c>
      <c r="K70" s="34" t="str">
        <f t="shared" si="17"/>
        <v>22*.8(BSW)</v>
      </c>
      <c r="L70" s="34" t="str">
        <f t="shared" si="17"/>
        <v>22*.8(BSW)</v>
      </c>
    </row>
    <row r="71" spans="1:15" ht="15" x14ac:dyDescent="0.35">
      <c r="A71" s="34"/>
      <c r="B71" s="34" t="str">
        <f>B$4&amp;" WB"&amp;C13&amp;" DR SIDE"</f>
        <v>GF1 WBDoor 1&amp;2 DR SIDE</v>
      </c>
      <c r="C71" s="34">
        <f>C70-20</f>
        <v>-20</v>
      </c>
      <c r="D71" s="34">
        <f>D70-30</f>
        <v>-30</v>
      </c>
      <c r="E71" s="34">
        <f>C15*F4*2</f>
        <v>0</v>
      </c>
      <c r="F71" s="34"/>
      <c r="G71" s="34"/>
      <c r="H71" s="34" t="str">
        <f t="shared" si="16"/>
        <v>BSW</v>
      </c>
      <c r="I71" s="34" t="str">
        <f t="shared" si="17"/>
        <v>22*.8(BSW)</v>
      </c>
      <c r="J71" s="34" t="str">
        <f t="shared" si="17"/>
        <v>22*.8(BSW)</v>
      </c>
      <c r="K71" s="34" t="str">
        <f t="shared" si="17"/>
        <v>22*.8(BSW)</v>
      </c>
      <c r="L71" s="34" t="str">
        <f t="shared" si="17"/>
        <v>22*.8(BSW)</v>
      </c>
    </row>
    <row r="72" spans="1:15" ht="15" x14ac:dyDescent="0.35">
      <c r="A72" s="34"/>
      <c r="B72" s="34" t="str">
        <f>B$4&amp;" WB"&amp;C13&amp;" DR BACK"</f>
        <v>GF1 WBDoor 1&amp;2 DR BACK</v>
      </c>
      <c r="C72" s="34" t="e">
        <f>C32-26-E71*E$6/(C15*F$4)-E70*E$6/(C15*F4)</f>
        <v>#DIV/0!</v>
      </c>
      <c r="D72" s="34">
        <f>D71</f>
        <v>-30</v>
      </c>
      <c r="E72" s="34">
        <f>E71/2</f>
        <v>0</v>
      </c>
      <c r="F72" s="34">
        <f>933-4*18-26-2*18</f>
        <v>799</v>
      </c>
      <c r="G72" s="34"/>
      <c r="H72" s="34" t="str">
        <f t="shared" si="16"/>
        <v>BSW</v>
      </c>
      <c r="I72" s="34" t="str">
        <f t="shared" si="17"/>
        <v>22*.8(BSW)</v>
      </c>
      <c r="J72" s="34" t="str">
        <f t="shared" si="17"/>
        <v>22*.8(BSW)</v>
      </c>
      <c r="K72" s="34" t="str">
        <f t="shared" si="17"/>
        <v>22*.8(BSW)</v>
      </c>
      <c r="L72" s="34" t="str">
        <f t="shared" si="17"/>
        <v>22*.8(BSW)</v>
      </c>
    </row>
    <row r="73" spans="1:15" ht="15" x14ac:dyDescent="0.35">
      <c r="A73" s="34"/>
      <c r="B73" s="34" t="str">
        <f>B$4&amp;" WB"&amp;C13&amp;" DR IN FRONT"</f>
        <v>GF1 WBDoor 1&amp;2 DR IN FRONT</v>
      </c>
      <c r="C73" s="34" t="e">
        <f>C72</f>
        <v>#DIV/0!</v>
      </c>
      <c r="D73" s="34">
        <v>80</v>
      </c>
      <c r="E73" s="34">
        <f>E72</f>
        <v>0</v>
      </c>
      <c r="F73" s="34"/>
      <c r="G73" s="34"/>
      <c r="H73" s="34" t="str">
        <f t="shared" si="16"/>
        <v>BSW</v>
      </c>
      <c r="I73" s="34" t="str">
        <f t="shared" si="17"/>
        <v>22*.8(BSW)</v>
      </c>
      <c r="J73" s="34" t="str">
        <f t="shared" si="17"/>
        <v>22*.8(BSW)</v>
      </c>
      <c r="K73" s="34" t="str">
        <f t="shared" si="17"/>
        <v>22*.8(BSW)</v>
      </c>
      <c r="L73" s="34" t="str">
        <f t="shared" si="17"/>
        <v>22*.8(BSW)</v>
      </c>
      <c r="O73">
        <f>566*3</f>
        <v>1698</v>
      </c>
    </row>
    <row r="74" spans="1:15" ht="15" x14ac:dyDescent="0.35">
      <c r="A74" s="34"/>
      <c r="B74" s="34" t="str">
        <f>B$4&amp;" WB"&amp;C13&amp;" DR FRONT"</f>
        <v>GF1 WBDoor 1&amp;2 DR FRONT</v>
      </c>
      <c r="C74" s="34" t="e">
        <f>C73+2*E$6+26-4</f>
        <v>#DIV/0!</v>
      </c>
      <c r="D74" s="34">
        <f>D70-2</f>
        <v>-2</v>
      </c>
      <c r="E74" s="34">
        <f>E73</f>
        <v>0</v>
      </c>
      <c r="F74" s="34"/>
      <c r="G74" s="34"/>
      <c r="H74" s="34" t="str">
        <f t="shared" si="16"/>
        <v>BSW</v>
      </c>
      <c r="I74" s="34" t="str">
        <f t="shared" si="17"/>
        <v>22*.8(BSW)</v>
      </c>
      <c r="J74" s="34" t="str">
        <f t="shared" si="17"/>
        <v>22*.8(BSW)</v>
      </c>
      <c r="K74" s="34" t="str">
        <f t="shared" si="17"/>
        <v>22*.8(BSW)</v>
      </c>
      <c r="L74" s="34" t="str">
        <f t="shared" si="17"/>
        <v>22*.8(BSW)</v>
      </c>
    </row>
    <row r="75" spans="1:15" ht="15" x14ac:dyDescent="0.35">
      <c r="A75" s="34"/>
      <c r="B75" s="34" t="str">
        <f>B$4&amp;" WB"&amp;C13&amp;" BACK PANEL"</f>
        <v>GF1 WBDoor 1&amp;2 BACK PANEL</v>
      </c>
      <c r="C75" s="34">
        <f>C71-10</f>
        <v>-30</v>
      </c>
      <c r="D75" s="34" t="e">
        <f>C72+E$6</f>
        <v>#DIV/0!</v>
      </c>
      <c r="E75" s="34">
        <f>E74</f>
        <v>0</v>
      </c>
      <c r="F75" s="34"/>
      <c r="G75" s="34"/>
      <c r="H75" s="34" t="str">
        <f>F$6&amp;"mm"&amp;B$6</f>
        <v>8mmBSW</v>
      </c>
      <c r="I75" s="34"/>
      <c r="J75" s="34"/>
      <c r="K75" s="34"/>
      <c r="L75" s="34"/>
    </row>
    <row r="76" spans="1:15" ht="15" x14ac:dyDescent="0.35">
      <c r="A76" s="34"/>
      <c r="B76" s="34" t="str">
        <f>B$4&amp;" WB"&amp;D13&amp;" DRAWER PACK"</f>
        <v>GF1 WBDoor 2&amp;3 DRAWER PACK</v>
      </c>
      <c r="C76" s="34">
        <f>IF(D$15&gt;0,E$4-C12-G$6-F$6,0)</f>
        <v>483</v>
      </c>
      <c r="D76" s="34">
        <f>D$16</f>
        <v>200</v>
      </c>
      <c r="E76" s="34">
        <f>IF(D15&gt;0,IF(ISBLANK(D17),D15*F4*4,D17*F4*D15),0)</f>
        <v>3</v>
      </c>
      <c r="F76" s="34"/>
      <c r="G76" s="34"/>
      <c r="H76" s="34" t="str">
        <f t="shared" ref="H76:H80" si="18">B$6</f>
        <v>BSW</v>
      </c>
      <c r="I76" s="34" t="str">
        <f t="shared" ref="I76:L80" si="19">"22*.8("&amp;$B$6&amp;")"</f>
        <v>22*.8(BSW)</v>
      </c>
      <c r="J76" s="34" t="str">
        <f t="shared" si="19"/>
        <v>22*.8(BSW)</v>
      </c>
      <c r="K76" s="34" t="str">
        <f t="shared" si="19"/>
        <v>22*.8(BSW)</v>
      </c>
      <c r="L76" s="34" t="str">
        <f t="shared" si="19"/>
        <v>22*.8(BSW)</v>
      </c>
    </row>
    <row r="77" spans="1:15" ht="15" x14ac:dyDescent="0.35">
      <c r="A77" s="34"/>
      <c r="B77" s="34" t="str">
        <f>B$4&amp;" WB"&amp;D13&amp;" DR SIDE"</f>
        <v>GF1 WBDoor 2&amp;3 DR SIDE</v>
      </c>
      <c r="C77" s="34">
        <f>C76-20</f>
        <v>463</v>
      </c>
      <c r="D77" s="34">
        <f>D76-30</f>
        <v>170</v>
      </c>
      <c r="E77" s="34">
        <f>D15*F4*2</f>
        <v>2</v>
      </c>
      <c r="F77" s="34"/>
      <c r="G77" s="34"/>
      <c r="H77" s="34" t="str">
        <f t="shared" si="18"/>
        <v>BSW</v>
      </c>
      <c r="I77" s="34" t="str">
        <f t="shared" si="19"/>
        <v>22*.8(BSW)</v>
      </c>
      <c r="J77" s="34" t="str">
        <f t="shared" si="19"/>
        <v>22*.8(BSW)</v>
      </c>
      <c r="K77" s="34" t="str">
        <f t="shared" si="19"/>
        <v>22*.8(BSW)</v>
      </c>
      <c r="L77" s="34" t="str">
        <f t="shared" si="19"/>
        <v>22*.8(BSW)</v>
      </c>
    </row>
    <row r="78" spans="1:15" ht="15" x14ac:dyDescent="0.35">
      <c r="A78" s="34"/>
      <c r="B78" s="34" t="str">
        <f>B$4&amp;" WB"&amp;D13&amp;" DR BACK"</f>
        <v>GF1 WBDoor 2&amp;3 DR BACK</v>
      </c>
      <c r="C78" s="34">
        <f>C33-26-E77*E$6/(D15*F$4)-E76*E$6/(D15*F4)</f>
        <v>857</v>
      </c>
      <c r="D78" s="34">
        <f>D77</f>
        <v>170</v>
      </c>
      <c r="E78" s="34">
        <f>E77/2</f>
        <v>1</v>
      </c>
      <c r="F78" s="34"/>
      <c r="G78" s="34"/>
      <c r="H78" s="34" t="str">
        <f t="shared" si="18"/>
        <v>BSW</v>
      </c>
      <c r="I78" s="34" t="str">
        <f t="shared" si="19"/>
        <v>22*.8(BSW)</v>
      </c>
      <c r="J78" s="34" t="str">
        <f t="shared" si="19"/>
        <v>22*.8(BSW)</v>
      </c>
      <c r="K78" s="34" t="str">
        <f t="shared" si="19"/>
        <v>22*.8(BSW)</v>
      </c>
      <c r="L78" s="34" t="str">
        <f t="shared" si="19"/>
        <v>22*.8(BSW)</v>
      </c>
    </row>
    <row r="79" spans="1:15" ht="15" x14ac:dyDescent="0.35">
      <c r="A79" s="34"/>
      <c r="B79" s="34" t="str">
        <f>B$4&amp;" WB"&amp;D13&amp;" DR IN FRONT"</f>
        <v>GF1 WBDoor 2&amp;3 DR IN FRONT</v>
      </c>
      <c r="C79" s="34">
        <f>C78</f>
        <v>857</v>
      </c>
      <c r="D79" s="34">
        <v>80</v>
      </c>
      <c r="E79" s="34">
        <f>E78</f>
        <v>1</v>
      </c>
      <c r="F79" s="34"/>
      <c r="G79" s="34"/>
      <c r="H79" s="34" t="str">
        <f t="shared" si="18"/>
        <v>BSW</v>
      </c>
      <c r="I79" s="34" t="str">
        <f t="shared" si="19"/>
        <v>22*.8(BSW)</v>
      </c>
      <c r="J79" s="34" t="str">
        <f t="shared" si="19"/>
        <v>22*.8(BSW)</v>
      </c>
      <c r="K79" s="34" t="str">
        <f t="shared" si="19"/>
        <v>22*.8(BSW)</v>
      </c>
      <c r="L79" s="34" t="str">
        <f t="shared" si="19"/>
        <v>22*.8(BSW)</v>
      </c>
    </row>
    <row r="80" spans="1:15" ht="15" x14ac:dyDescent="0.35">
      <c r="A80" s="34"/>
      <c r="B80" s="34" t="str">
        <f>B$4&amp;" WB"&amp;D13&amp;" DR FRONT"</f>
        <v>GF1 WBDoor 2&amp;3 DR FRONT</v>
      </c>
      <c r="C80" s="34">
        <f>C79+2*E$6+26-4</f>
        <v>915</v>
      </c>
      <c r="D80" s="34">
        <f>D76-2</f>
        <v>198</v>
      </c>
      <c r="E80" s="34">
        <f>E79</f>
        <v>1</v>
      </c>
      <c r="F80" s="34"/>
      <c r="G80" s="34"/>
      <c r="H80" s="34" t="str">
        <f t="shared" si="18"/>
        <v>BSW</v>
      </c>
      <c r="I80" s="34" t="str">
        <f t="shared" si="19"/>
        <v>22*.8(BSW)</v>
      </c>
      <c r="J80" s="34" t="str">
        <f t="shared" si="19"/>
        <v>22*.8(BSW)</v>
      </c>
      <c r="K80" s="34" t="str">
        <f t="shared" si="19"/>
        <v>22*.8(BSW)</v>
      </c>
      <c r="L80" s="34" t="str">
        <f t="shared" si="19"/>
        <v>22*.8(BSW)</v>
      </c>
    </row>
    <row r="81" spans="1:16" ht="15" x14ac:dyDescent="0.35">
      <c r="A81" s="34"/>
      <c r="B81" s="34" t="str">
        <f>B$4&amp;" WB"&amp;D13&amp;" BACK PANEL"</f>
        <v>GF1 WBDoor 2&amp;3 BACK PANEL</v>
      </c>
      <c r="C81" s="34">
        <f>C77-10</f>
        <v>453</v>
      </c>
      <c r="D81" s="34">
        <f>C78+E$6</f>
        <v>875</v>
      </c>
      <c r="E81" s="34">
        <f>E80</f>
        <v>1</v>
      </c>
      <c r="F81" s="34"/>
      <c r="G81" s="34"/>
      <c r="H81" s="34" t="str">
        <f>F$6&amp;"mm"&amp;B$6</f>
        <v>8mmBSW</v>
      </c>
      <c r="I81" s="34"/>
      <c r="J81" s="34"/>
      <c r="K81" s="34"/>
      <c r="L81" s="34"/>
    </row>
    <row r="82" spans="1:16" ht="15" x14ac:dyDescent="0.35">
      <c r="A82" s="34"/>
      <c r="B82" s="34" t="str">
        <f>B$4&amp;" WB"&amp;E13&amp;" DRAWER PACK"</f>
        <v>GF1 WBDoor 3&amp;4 DRAWER PACK</v>
      </c>
      <c r="C82" s="34">
        <f>IF(E$15&gt;0,E$4-C12-G$6-F$6,0)</f>
        <v>0</v>
      </c>
      <c r="D82" s="34">
        <f>E$16</f>
        <v>0</v>
      </c>
      <c r="E82" s="34">
        <f>IF(E15&gt;0,IF(ISBLANK(E17),E15*F4*4,E17*F4*E15),0)</f>
        <v>0</v>
      </c>
      <c r="F82" s="34"/>
      <c r="G82" s="34"/>
      <c r="H82" s="34" t="str">
        <f t="shared" ref="H82:H86" si="20">B$6</f>
        <v>BSW</v>
      </c>
      <c r="I82" s="34" t="str">
        <f t="shared" ref="I82:L86" si="21">"22*.8("&amp;$B$6&amp;")"</f>
        <v>22*.8(BSW)</v>
      </c>
      <c r="J82" s="34" t="str">
        <f t="shared" si="21"/>
        <v>22*.8(BSW)</v>
      </c>
      <c r="K82" s="34" t="str">
        <f t="shared" si="21"/>
        <v>22*.8(BSW)</v>
      </c>
      <c r="L82" s="34" t="str">
        <f t="shared" si="21"/>
        <v>22*.8(BSW)</v>
      </c>
    </row>
    <row r="83" spans="1:16" ht="15" x14ac:dyDescent="0.35">
      <c r="A83" s="34"/>
      <c r="B83" s="34" t="str">
        <f>B$4&amp;" WB"&amp;E13&amp;" DR SIDE"</f>
        <v>GF1 WBDoor 3&amp;4 DR SIDE</v>
      </c>
      <c r="C83" s="34">
        <f>C82-20</f>
        <v>-20</v>
      </c>
      <c r="D83" s="34">
        <f>D82-30</f>
        <v>-30</v>
      </c>
      <c r="E83" s="34">
        <f>E15*F4*2</f>
        <v>0</v>
      </c>
      <c r="F83" s="34"/>
      <c r="G83" s="34"/>
      <c r="H83" s="34" t="str">
        <f t="shared" si="20"/>
        <v>BSW</v>
      </c>
      <c r="I83" s="34" t="str">
        <f t="shared" si="21"/>
        <v>22*.8(BSW)</v>
      </c>
      <c r="J83" s="34" t="str">
        <f t="shared" si="21"/>
        <v>22*.8(BSW)</v>
      </c>
      <c r="K83" s="34" t="str">
        <f t="shared" si="21"/>
        <v>22*.8(BSW)</v>
      </c>
      <c r="L83" s="34" t="str">
        <f t="shared" si="21"/>
        <v>22*.8(BSW)</v>
      </c>
    </row>
    <row r="84" spans="1:16" ht="15" x14ac:dyDescent="0.35">
      <c r="A84" s="34"/>
      <c r="B84" s="34" t="str">
        <f>B$4&amp;" WB"&amp;E13&amp;" DR BACK"</f>
        <v>GF1 WBDoor 3&amp;4 DR BACK</v>
      </c>
      <c r="C84" s="34" t="e">
        <f>C34-26-E83*E$6/(E15*F$4)-E82*E$6/(E15*F4)</f>
        <v>#DIV/0!</v>
      </c>
      <c r="D84" s="34">
        <f>D83</f>
        <v>-30</v>
      </c>
      <c r="E84" s="34">
        <f>E83/2</f>
        <v>0</v>
      </c>
      <c r="F84" s="34"/>
      <c r="G84" s="34"/>
      <c r="H84" s="34" t="str">
        <f t="shared" si="20"/>
        <v>BSW</v>
      </c>
      <c r="I84" s="34" t="str">
        <f t="shared" si="21"/>
        <v>22*.8(BSW)</v>
      </c>
      <c r="J84" s="34" t="str">
        <f t="shared" si="21"/>
        <v>22*.8(BSW)</v>
      </c>
      <c r="K84" s="34" t="str">
        <f t="shared" si="21"/>
        <v>22*.8(BSW)</v>
      </c>
      <c r="L84" s="34" t="str">
        <f t="shared" si="21"/>
        <v>22*.8(BSW)</v>
      </c>
    </row>
    <row r="85" spans="1:16" ht="15" x14ac:dyDescent="0.35">
      <c r="A85" s="34"/>
      <c r="B85" s="34" t="str">
        <f>B$4&amp;" WB"&amp;E13&amp;" DR IN FRONT"</f>
        <v>GF1 WBDoor 3&amp;4 DR IN FRONT</v>
      </c>
      <c r="C85" s="34" t="e">
        <f>C84</f>
        <v>#DIV/0!</v>
      </c>
      <c r="D85" s="34">
        <v>80</v>
      </c>
      <c r="E85" s="34">
        <f>E84</f>
        <v>0</v>
      </c>
      <c r="F85" s="34"/>
      <c r="G85" s="34"/>
      <c r="H85" s="34" t="str">
        <f t="shared" si="20"/>
        <v>BSW</v>
      </c>
      <c r="I85" s="34" t="str">
        <f t="shared" si="21"/>
        <v>22*.8(BSW)</v>
      </c>
      <c r="J85" s="34" t="str">
        <f t="shared" si="21"/>
        <v>22*.8(BSW)</v>
      </c>
      <c r="K85" s="34" t="str">
        <f t="shared" si="21"/>
        <v>22*.8(BSW)</v>
      </c>
      <c r="L85" s="34" t="str">
        <f t="shared" si="21"/>
        <v>22*.8(BSW)</v>
      </c>
    </row>
    <row r="86" spans="1:16" ht="15" x14ac:dyDescent="0.35">
      <c r="A86" s="34"/>
      <c r="B86" s="34" t="str">
        <f>B$4&amp;" WB"&amp;E13&amp;" DR FRONT"</f>
        <v>GF1 WBDoor 3&amp;4 DR FRONT</v>
      </c>
      <c r="C86" s="34" t="e">
        <f>C85+2*E$6+26-4</f>
        <v>#DIV/0!</v>
      </c>
      <c r="D86" s="34">
        <f>D82-2</f>
        <v>-2</v>
      </c>
      <c r="E86" s="34">
        <f>E85</f>
        <v>0</v>
      </c>
      <c r="F86" s="34"/>
      <c r="G86" s="34"/>
      <c r="H86" s="34" t="str">
        <f t="shared" si="20"/>
        <v>BSW</v>
      </c>
      <c r="I86" s="34" t="str">
        <f t="shared" si="21"/>
        <v>22*.8(BSW)</v>
      </c>
      <c r="J86" s="34" t="str">
        <f t="shared" si="21"/>
        <v>22*.8(BSW)</v>
      </c>
      <c r="K86" s="34" t="str">
        <f t="shared" si="21"/>
        <v>22*.8(BSW)</v>
      </c>
      <c r="L86" s="34" t="str">
        <f t="shared" si="21"/>
        <v>22*.8(BSW)</v>
      </c>
    </row>
    <row r="87" spans="1:16" ht="15" x14ac:dyDescent="0.35">
      <c r="A87" s="34"/>
      <c r="B87" s="34" t="str">
        <f>B$4&amp;" WB"&amp;E13&amp;" BACK PANEL"</f>
        <v>GF1 WBDoor 3&amp;4 BACK PANEL</v>
      </c>
      <c r="C87" s="34">
        <f>C83-10</f>
        <v>-30</v>
      </c>
      <c r="D87" s="34" t="e">
        <f>C84+E$6</f>
        <v>#DIV/0!</v>
      </c>
      <c r="E87" s="34">
        <f>E86</f>
        <v>0</v>
      </c>
      <c r="F87" s="34"/>
      <c r="G87" s="34"/>
      <c r="H87" s="34" t="str">
        <f>F$6&amp;"mm"&amp;B$6</f>
        <v>8mmBSW</v>
      </c>
      <c r="I87" s="34"/>
      <c r="J87" s="34"/>
      <c r="K87" s="34"/>
      <c r="L87" s="34"/>
    </row>
    <row r="88" spans="1:16" ht="15" x14ac:dyDescent="0.35">
      <c r="A88" s="34"/>
      <c r="B88" s="34" t="str">
        <f>B$4&amp;" WB"&amp;F13&amp;" DRAWER PACK"</f>
        <v>GF1 WBDoor 4&amp;5 DRAWER PACK</v>
      </c>
      <c r="C88" s="34">
        <f>IF(F$15&gt;0,E$4-C12-G$6-F$6,0)</f>
        <v>0</v>
      </c>
      <c r="D88" s="34">
        <f>C$16</f>
        <v>0</v>
      </c>
      <c r="E88" s="34">
        <f>IF(F15&gt;0,IF(ISBLANK(F17),F15*F4*4,F17*F4*F15),0)</f>
        <v>0</v>
      </c>
      <c r="F88" s="34"/>
      <c r="G88" s="34"/>
      <c r="H88" s="34" t="str">
        <f t="shared" ref="H88:H92" si="22">B$6</f>
        <v>BSW</v>
      </c>
      <c r="I88" s="34" t="str">
        <f t="shared" ref="I88:L92" si="23">"22*.8("&amp;$B$6&amp;")"</f>
        <v>22*.8(BSW)</v>
      </c>
      <c r="J88" s="34" t="str">
        <f t="shared" si="23"/>
        <v>22*.8(BSW)</v>
      </c>
      <c r="K88" s="34" t="str">
        <f t="shared" si="23"/>
        <v>22*.8(BSW)</v>
      </c>
      <c r="L88" s="34" t="str">
        <f t="shared" si="23"/>
        <v>22*.8(BSW)</v>
      </c>
    </row>
    <row r="89" spans="1:16" ht="15" x14ac:dyDescent="0.35">
      <c r="A89" s="34"/>
      <c r="B89" s="34" t="str">
        <f>B$4&amp;" WB"&amp;F13&amp;" DR SIDE"</f>
        <v>GF1 WBDoor 4&amp;5 DR SIDE</v>
      </c>
      <c r="C89" s="34">
        <f>C88-20</f>
        <v>-20</v>
      </c>
      <c r="D89" s="34">
        <f>D88-30</f>
        <v>-30</v>
      </c>
      <c r="E89" s="34">
        <f>F15*F4*2</f>
        <v>0</v>
      </c>
      <c r="F89" s="34"/>
      <c r="G89" s="34"/>
      <c r="H89" s="34" t="str">
        <f t="shared" si="22"/>
        <v>BSW</v>
      </c>
      <c r="I89" s="34" t="str">
        <f t="shared" si="23"/>
        <v>22*.8(BSW)</v>
      </c>
      <c r="J89" s="34" t="str">
        <f t="shared" si="23"/>
        <v>22*.8(BSW)</v>
      </c>
      <c r="K89" s="34" t="str">
        <f t="shared" si="23"/>
        <v>22*.8(BSW)</v>
      </c>
      <c r="L89" s="34" t="str">
        <f t="shared" si="23"/>
        <v>22*.8(BSW)</v>
      </c>
    </row>
    <row r="90" spans="1:16" ht="15" x14ac:dyDescent="0.35">
      <c r="A90" s="34"/>
      <c r="B90" s="34" t="str">
        <f>B$4&amp;" WB"&amp;F13&amp;" DR BACK"</f>
        <v>GF1 WBDoor 4&amp;5 DR BACK</v>
      </c>
      <c r="C90" s="34" t="e">
        <f>C35-26-E89*E$6/(F15*F$4)-E88*E$6/(F15*F4)</f>
        <v>#DIV/0!</v>
      </c>
      <c r="D90" s="34">
        <f>D89</f>
        <v>-30</v>
      </c>
      <c r="E90" s="34">
        <f>E89/2</f>
        <v>0</v>
      </c>
      <c r="F90" s="34"/>
      <c r="G90" s="34"/>
      <c r="H90" s="34" t="str">
        <f t="shared" si="22"/>
        <v>BSW</v>
      </c>
      <c r="I90" s="34" t="str">
        <f t="shared" si="23"/>
        <v>22*.8(BSW)</v>
      </c>
      <c r="J90" s="34" t="str">
        <f t="shared" si="23"/>
        <v>22*.8(BSW)</v>
      </c>
      <c r="K90" s="34" t="str">
        <f t="shared" si="23"/>
        <v>22*.8(BSW)</v>
      </c>
      <c r="L90" s="34" t="str">
        <f t="shared" si="23"/>
        <v>22*.8(BSW)</v>
      </c>
    </row>
    <row r="91" spans="1:16" ht="15" x14ac:dyDescent="0.35">
      <c r="A91" s="34"/>
      <c r="B91" s="34" t="str">
        <f>B$4&amp;" WB"&amp;F13&amp;" DR IN FRONT"</f>
        <v>GF1 WBDoor 4&amp;5 DR IN FRONT</v>
      </c>
      <c r="C91" s="34" t="e">
        <f>C90</f>
        <v>#DIV/0!</v>
      </c>
      <c r="D91" s="34">
        <v>80</v>
      </c>
      <c r="E91" s="34">
        <f>E90</f>
        <v>0</v>
      </c>
      <c r="F91" s="34"/>
      <c r="G91" s="34"/>
      <c r="H91" s="34" t="str">
        <f t="shared" si="22"/>
        <v>BSW</v>
      </c>
      <c r="I91" s="34" t="str">
        <f t="shared" si="23"/>
        <v>22*.8(BSW)</v>
      </c>
      <c r="J91" s="34" t="str">
        <f t="shared" si="23"/>
        <v>22*.8(BSW)</v>
      </c>
      <c r="K91" s="34" t="str">
        <f t="shared" si="23"/>
        <v>22*.8(BSW)</v>
      </c>
      <c r="L91" s="34" t="str">
        <f t="shared" si="23"/>
        <v>22*.8(BSW)</v>
      </c>
    </row>
    <row r="92" spans="1:16" ht="15" x14ac:dyDescent="0.35">
      <c r="A92" s="34"/>
      <c r="B92" s="34" t="str">
        <f>B$4&amp;" WB"&amp;F13&amp;" DR FRONT"</f>
        <v>GF1 WBDoor 4&amp;5 DR FRONT</v>
      </c>
      <c r="C92" s="34" t="e">
        <f>C91+2*E$6+26-4</f>
        <v>#DIV/0!</v>
      </c>
      <c r="D92" s="34">
        <f>D88-2</f>
        <v>-2</v>
      </c>
      <c r="E92" s="34">
        <f>E91</f>
        <v>0</v>
      </c>
      <c r="F92" s="34"/>
      <c r="G92" s="34"/>
      <c r="H92" s="34" t="str">
        <f t="shared" si="22"/>
        <v>BSW</v>
      </c>
      <c r="I92" s="34" t="str">
        <f t="shared" si="23"/>
        <v>22*.8(BSW)</v>
      </c>
      <c r="J92" s="34" t="str">
        <f t="shared" si="23"/>
        <v>22*.8(BSW)</v>
      </c>
      <c r="K92" s="34" t="str">
        <f t="shared" si="23"/>
        <v>22*.8(BSW)</v>
      </c>
      <c r="L92" s="34" t="str">
        <f t="shared" si="23"/>
        <v>22*.8(BSW)</v>
      </c>
    </row>
    <row r="93" spans="1:16" ht="15" x14ac:dyDescent="0.35">
      <c r="A93" s="34"/>
      <c r="B93" s="34" t="str">
        <f>B$4&amp;" WB"&amp;F13&amp;" BACK PANEL"</f>
        <v>GF1 WBDoor 4&amp;5 BACK PANEL</v>
      </c>
      <c r="C93" s="34">
        <f>C89-10</f>
        <v>-30</v>
      </c>
      <c r="D93" s="34" t="e">
        <f>C90+E$6</f>
        <v>#DIV/0!</v>
      </c>
      <c r="E93" s="34">
        <f>E92</f>
        <v>0</v>
      </c>
      <c r="F93" s="34"/>
      <c r="G93" s="34"/>
      <c r="H93" s="34" t="str">
        <f>F$6&amp;"mm"&amp;B$6</f>
        <v>8mmBSW</v>
      </c>
      <c r="I93" s="34"/>
      <c r="J93" s="34"/>
      <c r="K93" s="34"/>
      <c r="L93" s="34"/>
    </row>
    <row r="94" spans="1:16" ht="15" x14ac:dyDescent="0.35">
      <c r="A94" s="34"/>
      <c r="B94" s="34" t="str">
        <f>B4&amp;" DOOR"</f>
        <v>GF1 DOOR</v>
      </c>
      <c r="C94" s="34">
        <f>C4-H6</f>
        <v>2000</v>
      </c>
      <c r="D94" s="34">
        <f>CEILING(D4/G4,0.5)-IF(I4=3,CEILING((G4-1)*2/G4,0.5),IF(I4=4,CEILING((G4+1)*2/G4,0.5),CEILING(G4*2/G4,0.5)))</f>
        <v>498</v>
      </c>
      <c r="E94" s="34">
        <f>G4</f>
        <v>3</v>
      </c>
      <c r="F94" s="34"/>
      <c r="G94" s="34"/>
      <c r="H94" s="34">
        <f>I$6</f>
        <v>10510</v>
      </c>
      <c r="I94" s="34" t="str">
        <f>IF(J$6=1,"22*1.3("&amp;H94&amp;")","22*2"&amp;H94&amp;")")</f>
        <v>22*1.3(10510)</v>
      </c>
      <c r="J94" s="34" t="str">
        <f>I94</f>
        <v>22*1.3(10510)</v>
      </c>
      <c r="K94" s="34" t="str">
        <f>J94</f>
        <v>22*1.3(10510)</v>
      </c>
      <c r="L94" s="34" t="str">
        <f>K94</f>
        <v>22*1.3(10510)</v>
      </c>
      <c r="P94">
        <f>CEILING(D4/G4-IF(I4=3,(G4-1)*2/G4,IF(I4=4,(G4+1)*2/G4,G4*2/G4)),0.5)</f>
        <v>498</v>
      </c>
    </row>
    <row r="95" spans="1:16" ht="15" x14ac:dyDescent="0.35">
      <c r="A95" s="34"/>
      <c r="B95" s="34" t="str">
        <f>B4&amp;" PILLAR PIECE"</f>
        <v>GF1 PILLAR PIECE</v>
      </c>
      <c r="C95" s="34">
        <f>C94+H6</f>
        <v>2100</v>
      </c>
      <c r="D95" s="34">
        <v>80</v>
      </c>
      <c r="E95" s="34">
        <f>IF(I4=1,1*F4,IF(I4=2,1*F4,IF(I4=3,0,2*F4)))</f>
        <v>1</v>
      </c>
      <c r="F95" s="34"/>
      <c r="G95" s="34"/>
      <c r="H95" s="34">
        <f>I$6</f>
        <v>10510</v>
      </c>
      <c r="I95" s="34" t="str">
        <f>IF(J$6=1,"22*1.3("&amp;H95&amp;")","22*2"&amp;H95&amp;")")</f>
        <v>22*1.3(10510)</v>
      </c>
      <c r="J95" s="34"/>
      <c r="K95" s="34" t="str">
        <f>I95</f>
        <v>22*1.3(10510)</v>
      </c>
      <c r="L95" s="34" t="str">
        <f>K95</f>
        <v>22*1.3(10510)</v>
      </c>
      <c r="P95">
        <f>P94*3</f>
        <v>1494</v>
      </c>
    </row>
    <row r="96" spans="1:16" x14ac:dyDescent="0.3">
      <c r="B96" t="s">
        <v>74</v>
      </c>
      <c r="C96">
        <f>(E4-20)</f>
        <v>540</v>
      </c>
      <c r="D96">
        <f>H6</f>
        <v>100</v>
      </c>
      <c r="E96">
        <f>IF(G4&gt;2,G4-1,0)</f>
        <v>2</v>
      </c>
      <c r="H96" t="str">
        <f>H27</f>
        <v>BSW</v>
      </c>
      <c r="I96" t="str">
        <f t="shared" ref="I96:L96" si="24">I27</f>
        <v>22*.8(BSW)</v>
      </c>
      <c r="J96" t="str">
        <f t="shared" si="24"/>
        <v>22*.8(BSW)</v>
      </c>
      <c r="K96" t="str">
        <f t="shared" si="24"/>
        <v>22*.8(BSW)</v>
      </c>
      <c r="L96" t="str">
        <f t="shared" si="24"/>
        <v>22*.8(BSW)</v>
      </c>
    </row>
    <row r="98" spans="2:14" x14ac:dyDescent="0.3">
      <c r="B98" t="s">
        <v>75</v>
      </c>
      <c r="H98">
        <v>2</v>
      </c>
      <c r="I98">
        <v>2</v>
      </c>
      <c r="J98">
        <v>2</v>
      </c>
    </row>
    <row r="100" spans="2:14" ht="28.8" x14ac:dyDescent="0.3">
      <c r="B100" t="s">
        <v>76</v>
      </c>
      <c r="C100" s="44" t="s">
        <v>77</v>
      </c>
    </row>
    <row r="101" spans="2:14" x14ac:dyDescent="0.3">
      <c r="B101">
        <v>4</v>
      </c>
      <c r="C101" s="44"/>
      <c r="N101" t="s">
        <v>78</v>
      </c>
    </row>
    <row r="102" spans="2:14" x14ac:dyDescent="0.3">
      <c r="C102" s="44"/>
      <c r="N102" t="s">
        <v>79</v>
      </c>
    </row>
    <row r="103" spans="2:14" x14ac:dyDescent="0.3">
      <c r="B103" t="s">
        <v>80</v>
      </c>
      <c r="C103" s="45" t="str">
        <f>IF(B101=1,"Normal",IF(B101=2,"Soft",IF(B101=3,"SS","SS soft")))</f>
        <v>SS soft</v>
      </c>
      <c r="D103">
        <f>IF(G4&lt;3,G4*2,2*2)</f>
        <v>4</v>
      </c>
      <c r="N103" t="s">
        <v>81</v>
      </c>
    </row>
    <row r="104" spans="2:14" x14ac:dyDescent="0.3">
      <c r="B104" t="s">
        <v>82</v>
      </c>
      <c r="C104" s="45" t="str">
        <f>IF(B101=1,"Normal",IF(B101=2,"Soft",IF(B101=3,"SS","SS soft")))</f>
        <v>SS soft</v>
      </c>
      <c r="D104">
        <f>G4*2-D103</f>
        <v>2</v>
      </c>
      <c r="N104" t="s">
        <v>83</v>
      </c>
    </row>
    <row r="105" spans="2:14" x14ac:dyDescent="0.3">
      <c r="B105" t="str">
        <f>"Slider "&amp;IF(C41&gt;500,500,IF(C41&gt;450,450,IF(C41&gt;400,400,IF(C41&gt;350,350,IF(C41&gt;300,300,IF(C41&gt;250,250,200))))))</f>
        <v>Slider 450</v>
      </c>
      <c r="C105" t="str">
        <f>IF(B101=1,"Normal",IF(B101=2,"Soft",IF(B101=3,"SS","SS soft")))</f>
        <v>SS soft</v>
      </c>
      <c r="D105">
        <f>SUM(C9:G9)+SUM(C15:F15)</f>
        <v>2</v>
      </c>
    </row>
    <row r="106" spans="2:14" x14ac:dyDescent="0.3">
      <c r="B106" t="s">
        <v>84</v>
      </c>
      <c r="D106" s="46"/>
    </row>
    <row r="107" spans="2:14" x14ac:dyDescent="0.3">
      <c r="B107" t="s">
        <v>85</v>
      </c>
      <c r="D107" s="46"/>
    </row>
    <row r="108" spans="2:14" x14ac:dyDescent="0.3">
      <c r="B108" t="s">
        <v>86</v>
      </c>
    </row>
    <row r="109" spans="2:14" x14ac:dyDescent="0.3">
      <c r="B109" t="s">
        <v>87</v>
      </c>
      <c r="D109">
        <f>(E21+E22+E23+E24++E26+E27+E28+E29+E30+E31+E32+E33+E34+E35)*4</f>
        <v>52</v>
      </c>
    </row>
    <row r="110" spans="2:14" x14ac:dyDescent="0.3">
      <c r="B110" t="s">
        <v>88</v>
      </c>
      <c r="D110">
        <f>D105</f>
        <v>2</v>
      </c>
    </row>
    <row r="111" spans="2:14" x14ac:dyDescent="0.3">
      <c r="B111" t="s">
        <v>89</v>
      </c>
      <c r="D111">
        <f>G4</f>
        <v>3</v>
      </c>
    </row>
    <row r="112" spans="2:14" x14ac:dyDescent="0.3">
      <c r="B112" t="s">
        <v>90</v>
      </c>
      <c r="D112">
        <f>D110</f>
        <v>2</v>
      </c>
    </row>
    <row r="113" spans="2:4" x14ac:dyDescent="0.3">
      <c r="B113" t="s">
        <v>91</v>
      </c>
      <c r="D113" s="46"/>
    </row>
    <row r="114" spans="2:4" x14ac:dyDescent="0.3">
      <c r="B114" t="s">
        <v>92</v>
      </c>
      <c r="C114" t="str">
        <f>IF(B101=1,"Plated",IF(B101=2,"Plated",IF(B101=3,"SS","SS")))</f>
        <v>SS</v>
      </c>
      <c r="D114" s="46"/>
    </row>
    <row r="115" spans="2:4" x14ac:dyDescent="0.3">
      <c r="B115" t="s">
        <v>93</v>
      </c>
      <c r="C115" t="str">
        <f>IF(B101=1,"Plated",IF(B101=2,"Plated",IF(B101=3,"SS","SS")))</f>
        <v>SS</v>
      </c>
      <c r="D115">
        <f>D109</f>
        <v>52</v>
      </c>
    </row>
    <row r="116" spans="2:4" x14ac:dyDescent="0.3">
      <c r="B116" t="s">
        <v>94</v>
      </c>
      <c r="C116" t="str">
        <f>IF(B101=1,"Plated",IF(B101=2,"Plated",IF(B101=3,"SS","SS")))</f>
        <v>SS</v>
      </c>
      <c r="D116">
        <f>D103*12+D104*12+D105*16+D107*2+D119*4</f>
        <v>132</v>
      </c>
    </row>
    <row r="117" spans="2:4" x14ac:dyDescent="0.3">
      <c r="B117" t="s">
        <v>95</v>
      </c>
      <c r="C117" t="str">
        <f>IF(B101=1,"Plated",IF(B101=2,"Plated",IF(B101=3,"SS","SS")))</f>
        <v>SS</v>
      </c>
      <c r="D117" s="46"/>
    </row>
    <row r="118" spans="2:4" x14ac:dyDescent="0.3">
      <c r="B118" t="s">
        <v>96</v>
      </c>
      <c r="D118" s="46"/>
    </row>
    <row r="119" spans="2:4" x14ac:dyDescent="0.3">
      <c r="B119" t="s">
        <v>97</v>
      </c>
      <c r="C119" t="str">
        <f>IF(B101=1,"Plated",IF(B101=2,"Plated",IF(B101=3,"SS","SS")))</f>
        <v>SS</v>
      </c>
      <c r="D119">
        <f>E95*3+E96*2</f>
        <v>7</v>
      </c>
    </row>
    <row r="120" spans="2:4" x14ac:dyDescent="0.3">
      <c r="B120" t="s">
        <v>98</v>
      </c>
      <c r="D120" s="46">
        <f>ROUND((C4*D4)*0.000010764*0.005,2)</f>
        <v>0.17</v>
      </c>
    </row>
    <row r="121" spans="2:4" x14ac:dyDescent="0.3">
      <c r="B121" t="s">
        <v>99</v>
      </c>
      <c r="D121">
        <f>ROUND((C4*D4)*0.000010764*0.005,2)</f>
        <v>0.17</v>
      </c>
    </row>
    <row r="122" spans="2:4" x14ac:dyDescent="0.3">
      <c r="B122" t="s">
        <v>100</v>
      </c>
      <c r="D122">
        <f>ROUND((C4*D4)*0.000010764*0.002,2)</f>
        <v>7.0000000000000007E-2</v>
      </c>
    </row>
  </sheetData>
  <sheetProtection autoFilter="0"/>
  <autoFilter ref="B18:L96" xr:uid="{00000000-0009-0000-0000-000003000000}"/>
  <mergeCells count="4">
    <mergeCell ref="J8:M8"/>
    <mergeCell ref="J9:M9"/>
    <mergeCell ref="J10:M10"/>
    <mergeCell ref="D12:G12"/>
  </mergeCells>
  <conditionalFormatting sqref="K13:K15 I8:J11">
    <cfRule type="iconSet" priority="1">
      <iconSet iconSet="3Arrows">
        <cfvo type="percent" val="0"/>
        <cfvo type="percent" val="33"/>
        <cfvo type="percent" val="67"/>
      </iconSet>
    </cfRule>
  </conditionalFormatting>
  <dataValidations count="2">
    <dataValidation type="whole" allowBlank="1" showInputMessage="1" showErrorMessage="1" sqref="C4" xr:uid="{A9356A78-1C0D-4F76-A82F-3AE0A2814788}">
      <formula1>100</formula1>
      <formula2>2400</formula2>
    </dataValidation>
    <dataValidation type="whole" allowBlank="1" showInputMessage="1" showErrorMessage="1" sqref="D4" xr:uid="{174646AD-6007-44B4-B6DE-19E90913ED94}">
      <formula1>200</formula1>
      <formula2>2440</formula2>
    </dataValidation>
  </dataValidations>
  <hyperlinks>
    <hyperlink ref="A1" location="'Sum (2)'!A1" display="⌂ Home" xr:uid="{B4749D1D-E3B8-471E-8CE1-669362CB5953}"/>
  </hyperlinks>
  <pageMargins left="0.7" right="0.7" top="0.75" bottom="0.75" header="0.3" footer="0.3"/>
  <pageSetup orientation="portrait" horizontalDpi="360" verticalDpi="36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Drop Down 1">
              <controlPr defaultSize="0" autoLine="0" autoPict="0">
                <anchor moveWithCells="1" sizeWithCells="1">
                  <from>
                    <xdr:col>2</xdr:col>
                    <xdr:colOff>7620</xdr:colOff>
                    <xdr:row>5</xdr:row>
                    <xdr:rowOff>0</xdr:rowOff>
                  </from>
                  <to>
                    <xdr:col>2</xdr:col>
                    <xdr:colOff>807720</xdr:colOff>
                    <xdr:row>5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Drop Down 2">
              <controlPr defaultSize="0" autoLine="0" autoPict="0">
                <anchor moveWithCells="1" sizeWithCells="1">
                  <from>
                    <xdr:col>3</xdr:col>
                    <xdr:colOff>22860</xdr:colOff>
                    <xdr:row>5</xdr:row>
                    <xdr:rowOff>22860</xdr:rowOff>
                  </from>
                  <to>
                    <xdr:col>3</xdr:col>
                    <xdr:colOff>708660</xdr:colOff>
                    <xdr:row>5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Drop Down 3">
              <controlPr defaultSize="0" autoLine="0" autoPict="0">
                <anchor moveWithCells="1" sizeWithCells="1">
                  <from>
                    <xdr:col>8</xdr:col>
                    <xdr:colOff>22860</xdr:colOff>
                    <xdr:row>3</xdr:row>
                    <xdr:rowOff>22860</xdr:rowOff>
                  </from>
                  <to>
                    <xdr:col>9</xdr:col>
                    <xdr:colOff>0</xdr:colOff>
                    <xdr:row>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Drop Down 4">
              <controlPr defaultSize="0" autoLine="0" autoPict="0">
                <anchor moveWithCells="1" sizeWithCells="1">
                  <from>
                    <xdr:col>9</xdr:col>
                    <xdr:colOff>22860</xdr:colOff>
                    <xdr:row>5</xdr:row>
                    <xdr:rowOff>22860</xdr:rowOff>
                  </from>
                  <to>
                    <xdr:col>9</xdr:col>
                    <xdr:colOff>876300</xdr:colOff>
                    <xdr:row>5</xdr:row>
                    <xdr:rowOff>243840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Button 5">
              <controlPr defaultSize="0" print="0" autoFill="0" autoPict="0" macro="[1]!wdSTART">
                <anchor moveWithCells="1">
                  <from>
                    <xdr:col>1</xdr:col>
                    <xdr:colOff>7620</xdr:colOff>
                    <xdr:row>0</xdr:row>
                    <xdr:rowOff>0</xdr:rowOff>
                  </from>
                  <to>
                    <xdr:col>1</xdr:col>
                    <xdr:colOff>1181100</xdr:colOff>
                    <xdr:row>1</xdr:row>
                    <xdr:rowOff>121920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Button 6">
              <controlPr defaultSize="0" print="0" autoFill="0" autoPict="0" macro="[1]!Macro5">
                <anchor moveWithCells="1">
                  <from>
                    <xdr:col>2</xdr:col>
                    <xdr:colOff>30480</xdr:colOff>
                    <xdr:row>0</xdr:row>
                    <xdr:rowOff>0</xdr:rowOff>
                  </from>
                  <to>
                    <xdr:col>3</xdr:col>
                    <xdr:colOff>365760</xdr:colOff>
                    <xdr:row>1</xdr:row>
                    <xdr:rowOff>121920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Drop Down 7">
              <controlPr defaultSize="0" autoLine="0" autoPict="0">
                <anchor moveWithCells="1" sizeWithCells="1">
                  <from>
                    <xdr:col>9</xdr:col>
                    <xdr:colOff>22860</xdr:colOff>
                    <xdr:row>3</xdr:row>
                    <xdr:rowOff>22860</xdr:rowOff>
                  </from>
                  <to>
                    <xdr:col>10</xdr:col>
                    <xdr:colOff>7620</xdr:colOff>
                    <xdr:row>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Drop Down 8">
              <controlPr defaultSize="0" autoLine="0" autoPict="0">
                <anchor moveWithCells="1" sizeWithCells="1">
                  <from>
                    <xdr:col>1</xdr:col>
                    <xdr:colOff>7620</xdr:colOff>
                    <xdr:row>100</xdr:row>
                    <xdr:rowOff>7620</xdr:rowOff>
                  </from>
                  <to>
                    <xdr:col>1</xdr:col>
                    <xdr:colOff>2506980</xdr:colOff>
                    <xdr:row>101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Drop Down 9">
              <controlPr defaultSize="0" autoLine="0" autoPict="0">
                <anchor moveWithCells="1" sizeWithCells="1">
                  <from>
                    <xdr:col>11</xdr:col>
                    <xdr:colOff>22860</xdr:colOff>
                    <xdr:row>3</xdr:row>
                    <xdr:rowOff>22860</xdr:rowOff>
                  </from>
                  <to>
                    <xdr:col>12</xdr:col>
                    <xdr:colOff>0</xdr:colOff>
                    <xdr:row>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Button 10">
              <controlPr defaultSize="0" print="0" autoFill="0" autoPict="0" macro="[1]!OPNWARCHE">
                <anchor moveWithCells="1">
                  <from>
                    <xdr:col>1</xdr:col>
                    <xdr:colOff>1272540</xdr:colOff>
                    <xdr:row>0</xdr:row>
                    <xdr:rowOff>0</xdr:rowOff>
                  </from>
                  <to>
                    <xdr:col>1</xdr:col>
                    <xdr:colOff>2446020</xdr:colOff>
                    <xdr:row>1</xdr:row>
                    <xdr:rowOff>121920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WD CUTTING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Kuruvila</dc:creator>
  <cp:lastModifiedBy>Milton Kuruvila</cp:lastModifiedBy>
  <dcterms:created xsi:type="dcterms:W3CDTF">2026-09-11T11:09:51Z</dcterms:created>
  <dcterms:modified xsi:type="dcterms:W3CDTF">2026-09-11T11:10:43Z</dcterms:modified>
</cp:coreProperties>
</file>